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_SUMMARY" sheetId="1" r:id="rId1"/>
    <sheet name="VENDOR_COMPARISON" sheetId="2" r:id="rId2"/>
    <sheet name="MONTHLY_RECEIVED_VALUE" sheetId="3" r:id="rId3"/>
    <sheet name="LATE_LINES" sheetId="4" r:id="rId4"/>
    <sheet name="PART_CROSSWALK" sheetId="5" r:id="rId5"/>
    <sheet name="DATA_NOTES" sheetId="6" r:id="rId6"/>
  </sheets>
  <definedNames>
    <definedName name="_xlnm._FilterDatabase" localSheetId="3" hidden="1">LATE_LINES!$A$1:$L$240</definedName>
    <definedName name="_xlnm._FilterDatabase" localSheetId="2" hidden="1">MONTHLY_RECEIVED_VALUE!$A$1:$C$1</definedName>
    <definedName name="_xlnm._FilterDatabase" localSheetId="4" hidden="1">PART_CROSSWALK!$A$1:$K$11</definedName>
    <definedName name="_xlnm._FilterDatabase" localSheetId="1" hidden="1">VENDOR_COMPARISON!$A$1:$P$7</definedName>
  </definedNames>
  <calcPr calcId="124519" fullCalcOnLoad="1"/>
</workbook>
</file>

<file path=xl/sharedStrings.xml><?xml version="1.0" encoding="utf-8"?>
<sst xmlns="http://schemas.openxmlformats.org/spreadsheetml/2006/main" count="1157" uniqueCount="362">
  <si>
    <t>Beacon Fasteners — Vendor Performance</t>
  </si>
  <si>
    <t>Historical purchasing extract  ·  analysis as-of 2026-05-17  ·  2025-09-06 through 2026-05-17</t>
  </si>
  <si>
    <t>Analysis as-of</t>
  </si>
  <si>
    <t>Total received value</t>
  </si>
  <si>
    <t>Vendors analyzed</t>
  </si>
  <si>
    <t>Due PO lines</t>
  </si>
  <si>
    <t>Overall required-date OTD</t>
  </si>
  <si>
    <t>Current month</t>
  </si>
  <si>
    <t>2026-05 PARTIAL (receipts through 2026-05-17)</t>
  </si>
  <si>
    <t>Received value by month</t>
  </si>
  <si>
    <t>Month</t>
  </si>
  <si>
    <t>Received value</t>
  </si>
  <si>
    <t>Partial?</t>
  </si>
  <si>
    <t>2025-09</t>
  </si>
  <si>
    <t>2025-10</t>
  </si>
  <si>
    <t>2025-11</t>
  </si>
  <si>
    <t>2025-12</t>
  </si>
  <si>
    <t>2026-01</t>
  </si>
  <si>
    <t>2026-02</t>
  </si>
  <si>
    <t>2026-03</t>
  </si>
  <si>
    <t>2026-04</t>
  </si>
  <si>
    <t>2026-05</t>
  </si>
  <si>
    <t>PARTIAL</t>
  </si>
  <si>
    <t>Required-date OTD by vendor</t>
  </si>
  <si>
    <t>Vendor</t>
  </si>
  <si>
    <t>OTD required</t>
  </si>
  <si>
    <t>OTD promise</t>
  </si>
  <si>
    <t>Apex Bar &amp; Tube Co.</t>
  </si>
  <si>
    <t>Heritage Cold Heading</t>
  </si>
  <si>
    <t>Continental Quality Heat Treat</t>
  </si>
  <si>
    <t>Ostmark Werkzeug GmbH</t>
  </si>
  <si>
    <t>Liberty Surface Finishing</t>
  </si>
  <si>
    <t>QuickShip Industrial</t>
  </si>
  <si>
    <t>Who should we call first?</t>
  </si>
  <si>
    <t>Continental Quality Heat Treat is the strongest candidate for an immediate supplier discussion. Only 39.1% of due lines were completed by Beacon's required date, and 56.6% met Continental's own promise date. The issue appears upstream as well: 91.2% of Continental confirmations promise later than Beacon requested. Completed late lines averaged 15.6 calendar days late to the required date. When the vendor pushes dates out, the average positive promise slippage is 9.3 days. Received value in the extract is $1,508,567.40. This discussion should focus on capacity, quoted lead times, and realistic commitment dates rather than only expediting individual late orders. QC holds on this supplier's POs are shown for context and are not assumed to be supplier-caused.</t>
  </si>
  <si>
    <t>Vendor ID</t>
  </si>
  <si>
    <t>Vendor Name</t>
  </si>
  <si>
    <t>Received Value</t>
  </si>
  <si>
    <t>Due Lines</t>
  </si>
  <si>
    <t>Completed Due Lines</t>
  </si>
  <si>
    <t>Required-Date OTD %</t>
  </si>
  <si>
    <t>Promise-Due Lines</t>
  </si>
  <si>
    <t>Promise-Date OTD %</t>
  </si>
  <si>
    <t>Average Days Late - Completed Late Lines</t>
  </si>
  <si>
    <t>Incomplete Overdue Lines</t>
  </si>
  <si>
    <t>Average Promise Slippage</t>
  </si>
  <si>
    <t>% Promises Later Than Required</t>
  </si>
  <si>
    <t>Avg Positive Promise Pushout</t>
  </si>
  <si>
    <t>Average Confirmation Lag</t>
  </si>
  <si>
    <t>QC Holds</t>
  </si>
  <si>
    <t>Open QC Holds</t>
  </si>
  <si>
    <t>V004</t>
  </si>
  <si>
    <t>V005</t>
  </si>
  <si>
    <t>V002</t>
  </si>
  <si>
    <t>V001</t>
  </si>
  <si>
    <t>V003</t>
  </si>
  <si>
    <t>V006</t>
  </si>
  <si>
    <t>Received Value (USD)</t>
  </si>
  <si>
    <t>Partial month?</t>
  </si>
  <si>
    <t>PO Number</t>
  </si>
  <si>
    <t>Line</t>
  </si>
  <si>
    <t>Part</t>
  </si>
  <si>
    <t>Qty Ordered</t>
  </si>
  <si>
    <t>Required Date</t>
  </si>
  <si>
    <t>Completion Date</t>
  </si>
  <si>
    <t>Promised Date</t>
  </si>
  <si>
    <t>Days Late vs Required</t>
  </si>
  <si>
    <t>Days Late vs Promise</t>
  </si>
  <si>
    <t>Incomplete?</t>
  </si>
  <si>
    <t>Line received value</t>
  </si>
  <si>
    <t>PO-4500045503</t>
  </si>
  <si>
    <t>BAR-TI64-188</t>
  </si>
  <si>
    <t>Y</t>
  </si>
  <si>
    <t>PO-4500046083</t>
  </si>
  <si>
    <t>CHB-9472-3</t>
  </si>
  <si>
    <t>PO-4500046787</t>
  </si>
  <si>
    <t>HT-PRECIP</t>
  </si>
  <si>
    <t>PO-4500045999</t>
  </si>
  <si>
    <t>PO-4500046226</t>
  </si>
  <si>
    <t>CHB-3301</t>
  </si>
  <si>
    <t>PO-4500046704</t>
  </si>
  <si>
    <t>PLAT-ZN</t>
  </si>
  <si>
    <t>PO-4500047157</t>
  </si>
  <si>
    <t>MISC-WAS-A25</t>
  </si>
  <si>
    <t>PO-4500046481</t>
  </si>
  <si>
    <t>PLAT-PASV</t>
  </si>
  <si>
    <t>PO-4500046185</t>
  </si>
  <si>
    <t>CHB-5520</t>
  </si>
  <si>
    <t>PO-4500046876</t>
  </si>
  <si>
    <t>HT-SOLN</t>
  </si>
  <si>
    <t>PO-4500046586</t>
  </si>
  <si>
    <t>PO-4500046799</t>
  </si>
  <si>
    <t>PO-4500045921</t>
  </si>
  <si>
    <t>PO-4500047214</t>
  </si>
  <si>
    <t>PO-4500046755</t>
  </si>
  <si>
    <t>PO-4500046357</t>
  </si>
  <si>
    <t>PO-4500046756</t>
  </si>
  <si>
    <t>PO-4500046323</t>
  </si>
  <si>
    <t>PO-4500046202</t>
  </si>
  <si>
    <t>PO-4500047308</t>
  </si>
  <si>
    <t>MISC-SPR-001</t>
  </si>
  <si>
    <t>PO-4500046363</t>
  </si>
  <si>
    <t>CHB-7715</t>
  </si>
  <si>
    <t>PO-4500045901</t>
  </si>
  <si>
    <t>BAR-4130-312</t>
  </si>
  <si>
    <t>BAR-A286-375</t>
  </si>
  <si>
    <t>PO-4500045902</t>
  </si>
  <si>
    <t>PO-4500045574</t>
  </si>
  <si>
    <t>BAR-A286-250</t>
  </si>
  <si>
    <t>PO-4500046419</t>
  </si>
  <si>
    <t>PLAT-CAD</t>
  </si>
  <si>
    <t>PO-4500045694</t>
  </si>
  <si>
    <t>PO-4500046515</t>
  </si>
  <si>
    <t>PO-4500045662</t>
  </si>
  <si>
    <t>PO-4500046166</t>
  </si>
  <si>
    <t>PO-4500046806</t>
  </si>
  <si>
    <t>N</t>
  </si>
  <si>
    <t>PO-4500046773</t>
  </si>
  <si>
    <t>PO-4500046801</t>
  </si>
  <si>
    <t>HT-STRESS</t>
  </si>
  <si>
    <t>PO-4500046920</t>
  </si>
  <si>
    <t>PO-4500046984</t>
  </si>
  <si>
    <t>PO-4500046817</t>
  </si>
  <si>
    <t>PO-4500046910</t>
  </si>
  <si>
    <t>PO-4500046965</t>
  </si>
  <si>
    <t>PO-4500047009</t>
  </si>
  <si>
    <t>PO-4500046834</t>
  </si>
  <si>
    <t>PO-4500046901</t>
  </si>
  <si>
    <t>PO-4500046929</t>
  </si>
  <si>
    <t>PO-4500046988</t>
  </si>
  <si>
    <t>PO-4500046832</t>
  </si>
  <si>
    <t>PO-4500046836</t>
  </si>
  <si>
    <t>PO-4500046840</t>
  </si>
  <si>
    <t>PO-4500046845</t>
  </si>
  <si>
    <t>PO-4500046873</t>
  </si>
  <si>
    <t>PO-4500045536</t>
  </si>
  <si>
    <t>BAR-CRES-250</t>
  </si>
  <si>
    <t>PO-4500046897</t>
  </si>
  <si>
    <t>PO-4500046906</t>
  </si>
  <si>
    <t>PO-4500046966</t>
  </si>
  <si>
    <t>PO-4500047234</t>
  </si>
  <si>
    <t>PO-4500046855</t>
  </si>
  <si>
    <t>PO-4500046858</t>
  </si>
  <si>
    <t>PO-4500046957</t>
  </si>
  <si>
    <t>PO-4500046968</t>
  </si>
  <si>
    <t>PO-4500046991</t>
  </si>
  <si>
    <t>PO-4500046882</t>
  </si>
  <si>
    <t>PO-4500046891</t>
  </si>
  <si>
    <t>PO-4500046919</t>
  </si>
  <si>
    <t>PO-4500046962</t>
  </si>
  <si>
    <t>PO-4500047011</t>
  </si>
  <si>
    <t>PO-4500046120</t>
  </si>
  <si>
    <t>PO-4500046862</t>
  </si>
  <si>
    <t>PO-4500046867</t>
  </si>
  <si>
    <t>PO-4500046945</t>
  </si>
  <si>
    <t>PO-4500046776</t>
  </si>
  <si>
    <t>PO-4500046828</t>
  </si>
  <si>
    <t>PO-4500046429</t>
  </si>
  <si>
    <t>PO-4500046766</t>
  </si>
  <si>
    <t>PO-4500046932</t>
  </si>
  <si>
    <t>PO-4500046959</t>
  </si>
  <si>
    <t>PO-4500046999</t>
  </si>
  <si>
    <t>PO-4500046769</t>
  </si>
  <si>
    <t>PO-4500046977</t>
  </si>
  <si>
    <t>PO-4500047006</t>
  </si>
  <si>
    <t>PO-4500046809</t>
  </si>
  <si>
    <t>PO-4500046970</t>
  </si>
  <si>
    <t>PO-4500046903</t>
  </si>
  <si>
    <t>PO-4500046207</t>
  </si>
  <si>
    <t>PO-4500046780</t>
  </si>
  <si>
    <t>PO-4500046925</t>
  </si>
  <si>
    <t>PO-4500046982</t>
  </si>
  <si>
    <t>PO-4500046941</t>
  </si>
  <si>
    <t>PO-4500050025</t>
  </si>
  <si>
    <t>PO-4500046934</t>
  </si>
  <si>
    <t>PO-4500046892</t>
  </si>
  <si>
    <t>PO-4500050024</t>
  </si>
  <si>
    <t>PO-4500045968</t>
  </si>
  <si>
    <t>PO-4500046027</t>
  </si>
  <si>
    <t>PO-4500045689</t>
  </si>
  <si>
    <t>PO-4500045977</t>
  </si>
  <si>
    <t>PO-4500046006</t>
  </si>
  <si>
    <t>PO-4500046263</t>
  </si>
  <si>
    <t>CHB-9472-4</t>
  </si>
  <si>
    <t>PO-4500047123</t>
  </si>
  <si>
    <t>TOOL-PUNCH-STD</t>
  </si>
  <si>
    <t>PO-4500045599</t>
  </si>
  <si>
    <t>PO-4500045756</t>
  </si>
  <si>
    <t>PO-4500045983</t>
  </si>
  <si>
    <t>PO-4500045996</t>
  </si>
  <si>
    <t>PO-4500046095</t>
  </si>
  <si>
    <t>PO-4500046129</t>
  </si>
  <si>
    <t>PO-4500046344</t>
  </si>
  <si>
    <t>PO-4500047031</t>
  </si>
  <si>
    <t>TOOL-DIE-9472</t>
  </si>
  <si>
    <t>PO-4500046761</t>
  </si>
  <si>
    <t>PO-4500046820</t>
  </si>
  <si>
    <t>PO-4500046850</t>
  </si>
  <si>
    <t>PO-4500046863</t>
  </si>
  <si>
    <t>PO-4500046030</t>
  </si>
  <si>
    <t>PO-4500046073</t>
  </si>
  <si>
    <t>PO-4500046091</t>
  </si>
  <si>
    <t>PO-4500046109</t>
  </si>
  <si>
    <t>PO-4500046178</t>
  </si>
  <si>
    <t>PO-4500046180</t>
  </si>
  <si>
    <t>PO-4500046233</t>
  </si>
  <si>
    <t>PO-4500050021</t>
  </si>
  <si>
    <t>PO-4500047061</t>
  </si>
  <si>
    <t>TOOL-INS-CAR</t>
  </si>
  <si>
    <t>PO-4500045725</t>
  </si>
  <si>
    <t>PO-4500045813</t>
  </si>
  <si>
    <t>PO-4500046794</t>
  </si>
  <si>
    <t>PO-4500046864</t>
  </si>
  <si>
    <t>PO-4500046886</t>
  </si>
  <si>
    <t>PO-4500046012</t>
  </si>
  <si>
    <t>PO-4500046236</t>
  </si>
  <si>
    <t>PO-4500046248</t>
  </si>
  <si>
    <t>PO-4500046260</t>
  </si>
  <si>
    <t>PO-4500046282</t>
  </si>
  <si>
    <t>PO-4500046293</t>
  </si>
  <si>
    <t>PO-4500046294</t>
  </si>
  <si>
    <t>PO-4500046475</t>
  </si>
  <si>
    <t>PO-4500046496</t>
  </si>
  <si>
    <t>PO-4500047035</t>
  </si>
  <si>
    <t>PO-4500047036</t>
  </si>
  <si>
    <t>PO-4500047058</t>
  </si>
  <si>
    <t>PO-4500047084</t>
  </si>
  <si>
    <t>PO-4500045547</t>
  </si>
  <si>
    <t>PO-4500045623</t>
  </si>
  <si>
    <t>PO-4500045649</t>
  </si>
  <si>
    <t>PO-4500045683</t>
  </si>
  <si>
    <t>PO-4500045826</t>
  </si>
  <si>
    <t>PO-4500045839</t>
  </si>
  <si>
    <t>PO-4500045866</t>
  </si>
  <si>
    <t>PO-4500046944</t>
  </si>
  <si>
    <t>PO-4500046989</t>
  </si>
  <si>
    <t>PO-4500046995</t>
  </si>
  <si>
    <t>PO-4500046001</t>
  </si>
  <si>
    <t>PO-4500046034</t>
  </si>
  <si>
    <t>PO-4500046035</t>
  </si>
  <si>
    <t>PO-4500046050</t>
  </si>
  <si>
    <t>PO-4500046146</t>
  </si>
  <si>
    <t>PO-4500046150</t>
  </si>
  <si>
    <t>PO-4500046158</t>
  </si>
  <si>
    <t>PO-4500046170</t>
  </si>
  <si>
    <t>PO-4500046195</t>
  </si>
  <si>
    <t>PO-4500046230</t>
  </si>
  <si>
    <t>PO-4500046267</t>
  </si>
  <si>
    <t>PO-4500046319</t>
  </si>
  <si>
    <t>PO-4500046459</t>
  </si>
  <si>
    <t>PO-4500046523</t>
  </si>
  <si>
    <t>PO-4500046657</t>
  </si>
  <si>
    <t>PO-4500046715</t>
  </si>
  <si>
    <t>PO-4500046729</t>
  </si>
  <si>
    <t>PO-4500047132</t>
  </si>
  <si>
    <t>PO-4500050027</t>
  </si>
  <si>
    <t>PO-4500050031</t>
  </si>
  <si>
    <t>PO-4500045507</t>
  </si>
  <si>
    <t>PO-4500045533</t>
  </si>
  <si>
    <t>PO-4500045570</t>
  </si>
  <si>
    <t>PO-4500045670</t>
  </si>
  <si>
    <t>PO-4500045675</t>
  </si>
  <si>
    <t>PO-4500045678</t>
  </si>
  <si>
    <t>PO-4500045799</t>
  </si>
  <si>
    <t>PO-4500045817</t>
  </si>
  <si>
    <t>PO-4500045854</t>
  </si>
  <si>
    <t>PO-4500045885</t>
  </si>
  <si>
    <t>PO-4500045904</t>
  </si>
  <si>
    <t>PO-4500045930</t>
  </si>
  <si>
    <t>PO-4500045960</t>
  </si>
  <si>
    <t>PO-4500046016</t>
  </si>
  <si>
    <t>PO-4500046061</t>
  </si>
  <si>
    <t>PO-4500046114</t>
  </si>
  <si>
    <t>PO-4500046134</t>
  </si>
  <si>
    <t>PO-4500046300</t>
  </si>
  <si>
    <t>PO-4500046313</t>
  </si>
  <si>
    <t>PO-4500046318</t>
  </si>
  <si>
    <t>PO-4500046326</t>
  </si>
  <si>
    <t>PO-4500046335</t>
  </si>
  <si>
    <t>PO-4500046342</t>
  </si>
  <si>
    <t>PO-4500046467</t>
  </si>
  <si>
    <t>PO-4500046468</t>
  </si>
  <si>
    <t>PO-4500046485</t>
  </si>
  <si>
    <t>PO-4500046540</t>
  </si>
  <si>
    <t>PO-4500046558</t>
  </si>
  <si>
    <t>PO-4500046559</t>
  </si>
  <si>
    <t>PO-4500046579</t>
  </si>
  <si>
    <t>PO-4500046636</t>
  </si>
  <si>
    <t>PO-4500046697</t>
  </si>
  <si>
    <t>PO-4500046721</t>
  </si>
  <si>
    <t>PO-4500047021</t>
  </si>
  <si>
    <t>PO-4500047067</t>
  </si>
  <si>
    <t>PO-4500047080</t>
  </si>
  <si>
    <t>PO-4500047111</t>
  </si>
  <si>
    <t>PO-4500047127</t>
  </si>
  <si>
    <t>PO-4500047206</t>
  </si>
  <si>
    <t>PO-4500050016</t>
  </si>
  <si>
    <t>PO-4500050020</t>
  </si>
  <si>
    <t>Vendor PN</t>
  </si>
  <si>
    <t>Beacon PN</t>
  </si>
  <si>
    <t>Evidence Count</t>
  </si>
  <si>
    <t>Vendor PN Total</t>
  </si>
  <si>
    <t>Purity</t>
  </si>
  <si>
    <t>First Seen</t>
  </si>
  <si>
    <t>Last Seen</t>
  </si>
  <si>
    <t>Status</t>
  </si>
  <si>
    <t>Source</t>
  </si>
  <si>
    <t>APH-125</t>
  </si>
  <si>
    <t>APPROVED</t>
  </si>
  <si>
    <t>historical_confirmation</t>
  </si>
  <si>
    <t>APH-318</t>
  </si>
  <si>
    <t>APH-441</t>
  </si>
  <si>
    <t>APH-4411</t>
  </si>
  <si>
    <t>K-1050</t>
  </si>
  <si>
    <t>WZ-9472-DS</t>
  </si>
  <si>
    <t>WZ-HM-EIN</t>
  </si>
  <si>
    <t>APH-441-OS</t>
  </si>
  <si>
    <t>PROPOSED</t>
  </si>
  <si>
    <t>current_document_context</t>
  </si>
  <si>
    <t>OST-CAR-A-100</t>
  </si>
  <si>
    <t>Data notes, definitions, and assumptions</t>
  </si>
  <si>
    <t>Definitions</t>
  </si>
  <si>
    <t>• Received value: signed receipt quantity × PO line unit price (Beacon base-currency valuation).</t>
  </si>
  <si>
    <t>• Due line: po_line.required_date &lt;= analysis as-of date.</t>
  </si>
  <si>
    <t>• Stable completion date: earliest receipt date at which cumulative signed qty &gt;= ordered AND never falls below ordered afterward.</t>
  </si>
  <si>
    <t>• OTD to required date: completion_date exists AND completion_date &lt;= required_date. Incomplete overdue lines are not on time.</t>
  </si>
  <si>
    <t>• OTD to vendor promise: evaluated only when promised_date &lt;= as-of. Same completion-date rule.</t>
  </si>
  <si>
    <t>• Promise slippage: promised_date ? required_date (positive means vendor already committed later than Beacon asked).</t>
  </si>
  <si>
    <t>• Confirmation lag: confirmation.doc_date ? po_header.po_date.</t>
  </si>
  <si>
    <t>Assumptions</t>
  </si>
  <si>
    <t>1. Open-PO / ERP unit prices are Beacon base-currency USD values. The open PO CSV has no currency column.</t>
  </si>
  <si>
    <t>2. Ostmark document prices are EUR and are normalized with ERP fx_rate (amount × rate_to_usd) when compared in Task 1.</t>
  </si>
  <si>
    <t>3. QuickShip states a ship date, which may not equal Beacon's required receipt date.</t>
  </si>
  <si>
    <t>4. required_date is treated as Beacon's needed/completion date for OTD.</t>
  </si>
  <si>
    <t>5. A missing confirmation price is NOT interpreted as price acceptance.</t>
  </si>
  <si>
    <t>6. Invoices are not automatically treated as acknowledgments.</t>
  </si>
  <si>
    <t>7. QC holds are associated to supplier POs but not necessarily proven supplier-caused defects.</t>
  </si>
  <si>
    <t>8. MRP messages are part-level and are not used as a core vendor-performance metric (vendor attribution is ambiguous).</t>
  </si>
  <si>
    <t>9. May 2026 historical data is PARTIAL through the analysis-as-of date 2026-05-17.</t>
  </si>
  <si>
    <t>10. New vendor part mappings are PROPOSED unless historical evidence_count &gt;= 3 and purity &gt;= 0.95.</t>
  </si>
  <si>
    <t>11. Receipt reversals use the signed qty stored in receipt_txn. RV rows are negative; they are not abs()'d or sign-flipped again.</t>
  </si>
  <si>
    <t>12. Active confirmations are rows where superseded_by IS NULL. If duplicates remain, the latest doc_date / conf_id is used.</t>
  </si>
  <si>
    <t>Source tables</t>
  </si>
  <si>
    <t>receipt_txn, po_line, po_header, vendor_master, confirmation, qc_hold, fx_rate, part_master.</t>
  </si>
  <si>
    <t>The ERP database is opened read-only (sqlite URI mode=ro) and is never modified.</t>
  </si>
  <si>
    <t>Limitations</t>
  </si>
  <si>
    <t>• Calendar days are used for lateness, not plant-calendar workdays.</t>
  </si>
  <si>
    <t>• FX rates are monthly; small rounding differences vs an intra-month rate are expected.</t>
  </si>
  <si>
    <t>• This is a decision-support prototype, not a production ERP integration.</t>
  </si>
  <si>
    <t>Questions I Would Ask Lisa / Plant Manager</t>
  </si>
  <si>
    <t>• Are open-PO prices always USD?</t>
  </si>
  <si>
    <t>• Does required_date mean arrival at Beacon, ship date, or another milestone?</t>
  </si>
  <si>
    <t>• Should a supplier's lower price also be flagged, or only increases?</t>
  </si>
  <si>
    <t>• What price variance tolerance does purchasing actually use?</t>
  </si>
  <si>
    <t>• Are split/partial acknowledgments normal and acceptable?</t>
  </si>
  <si>
    <t>• When a supplier gives a delivery window (e.g. KW 20–22), how should purchasing judge it?</t>
  </si>
  <si>
    <t>• Does on-time mean first receipt or full ordered quantity received? (This tool uses full quantity.)</t>
  </si>
  <si>
    <t>• Should plant-calendar workdays rather than calendar days be used for lateness?</t>
  </si>
  <si>
    <t>• Are all QC holds supplier-responsible?</t>
  </si>
  <si>
    <t>• Can vendor part mappings ever be auto-approved into a master file?</t>
  </si>
  <si>
    <t>• How should an invoice/shipping notice be handled when no formal acknowledgment was received?</t>
  </si>
  <si>
    <t>• Which discrepancies cause the most business pain today?</t>
  </si>
</sst>
</file>

<file path=xl/styles.xml><?xml version="1.0" encoding="utf-8"?>
<styleSheet xmlns="http://schemas.openxmlformats.org/spreadsheetml/2006/main">
  <numFmts count="6">
    <numFmt numFmtId="164" formatCode="yyyy-mm-dd"/>
    <numFmt numFmtId="165" formatCode="$#,##0"/>
    <numFmt numFmtId="166" formatCode="#,##0"/>
    <numFmt numFmtId="167" formatCode="0.0%"/>
    <numFmt numFmtId="168" formatCode="$#,##0.00"/>
    <numFmt numFmtId="169" formatCode="#,##0.0"/>
  </numFmts>
  <fonts count="9">
    <font>
      <sz val="11"/>
      <color theme="1"/>
      <name val="Calibri"/>
      <family val="2"/>
      <scheme val="minor"/>
    </font>
    <font>
      <b/>
      <sz val="18"/>
      <color rgb="FF1B365D"/>
      <name val="Calibri"/>
      <family val="2"/>
      <scheme val="minor"/>
    </font>
    <font>
      <i/>
      <sz val="11"/>
      <color rgb="FF4A5568"/>
      <name val="Calibri"/>
      <family val="2"/>
      <scheme val="minor"/>
    </font>
    <font>
      <b/>
      <sz val="10"/>
      <color rgb="FF34495E"/>
      <name val="Calibri"/>
      <family val="2"/>
      <scheme val="minor"/>
    </font>
    <font>
      <sz val="10"/>
      <color theme="1"/>
      <name val="Calibri"/>
      <family val="2"/>
      <scheme val="minor"/>
    </font>
    <font>
      <b/>
      <sz val="16"/>
      <color rgb="FF1B365D"/>
      <name val="Calibri"/>
      <family val="2"/>
      <scheme val="minor"/>
    </font>
    <font>
      <b/>
      <sz val="13"/>
      <color rgb="FF1B365D"/>
      <name val="Calibri"/>
      <family val="2"/>
      <scheme val="minor"/>
    </font>
    <font>
      <b/>
      <sz val="10"/>
      <color rgb="FFFFFFFF"/>
      <name val="Calibri"/>
      <family val="2"/>
      <scheme val="minor"/>
    </font>
    <font>
      <sz val="11"/>
      <color rgb="FF7B241C"/>
      <name val="Calibri"/>
      <family val="2"/>
      <scheme val="minor"/>
    </font>
  </fonts>
  <fills count="5">
    <fill>
      <patternFill patternType="none"/>
    </fill>
    <fill>
      <patternFill patternType="gray125"/>
    </fill>
    <fill>
      <patternFill patternType="solid">
        <fgColor rgb="FF1B365D"/>
        <bgColor indexed="64"/>
      </patternFill>
    </fill>
    <fill>
      <patternFill patternType="solid">
        <fgColor rgb="FFF5CBA7"/>
        <bgColor indexed="64"/>
      </patternFill>
    </fill>
    <fill>
      <patternFill patternType="solid">
        <fgColor rgb="FFFDEDEC"/>
        <bgColor indexed="64"/>
      </patternFill>
    </fill>
  </fills>
  <borders count="3">
    <border>
      <left/>
      <right/>
      <top/>
      <bottom/>
      <diagonal/>
    </border>
    <border>
      <left style="thin">
        <color rgb="FFC5CDD6"/>
      </left>
      <right style="thin">
        <color rgb="FFC5CDD6"/>
      </right>
      <top style="thin">
        <color rgb="FFC5CDD6"/>
      </top>
      <bottom style="thin">
        <color rgb="FFC5CDD6"/>
      </bottom>
      <diagonal/>
    </border>
    <border>
      <left style="thin">
        <color rgb="FFC0392B"/>
      </left>
      <right style="thin">
        <color rgb="FFC0392B"/>
      </right>
      <top style="thin">
        <color rgb="FFC0392B"/>
      </top>
      <bottom style="thin">
        <color rgb="FFC0392B"/>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164" fontId="4" fillId="0" borderId="1" xfId="0" applyNumberFormat="1" applyFont="1" applyBorder="1" applyAlignment="1">
      <alignment vertical="center"/>
    </xf>
    <xf numFmtId="165" fontId="5" fillId="0" borderId="0" xfId="0" applyNumberFormat="1" applyFont="1"/>
    <xf numFmtId="166" fontId="5" fillId="0" borderId="0" xfId="0" applyNumberFormat="1" applyFont="1"/>
    <xf numFmtId="167" fontId="5" fillId="0" borderId="0" xfId="0" applyNumberFormat="1" applyFont="1"/>
    <xf numFmtId="0" fontId="6" fillId="0" borderId="0" xfId="0" applyFont="1"/>
    <xf numFmtId="0" fontId="7" fillId="2" borderId="1" xfId="0" applyFont="1" applyFill="1" applyBorder="1" applyAlignment="1">
      <alignment horizontal="center" vertical="center" wrapText="1"/>
    </xf>
    <xf numFmtId="0" fontId="4" fillId="0" borderId="1" xfId="0" applyFont="1" applyBorder="1" applyAlignment="1">
      <alignment vertical="center" wrapText="1"/>
    </xf>
    <xf numFmtId="168" fontId="4" fillId="0" borderId="1" xfId="0" applyNumberFormat="1" applyFont="1" applyBorder="1" applyAlignment="1">
      <alignment vertical="center"/>
    </xf>
    <xf numFmtId="168" fontId="4" fillId="3" borderId="1" xfId="0" applyNumberFormat="1" applyFont="1" applyFill="1" applyBorder="1" applyAlignment="1">
      <alignment vertical="center"/>
    </xf>
    <xf numFmtId="167" fontId="4" fillId="0" borderId="1" xfId="0" applyNumberFormat="1" applyFont="1" applyBorder="1" applyAlignment="1">
      <alignment vertical="center"/>
    </xf>
    <xf numFmtId="0" fontId="8" fillId="4" borderId="2" xfId="0" applyFont="1" applyFill="1" applyBorder="1" applyAlignment="1">
      <alignment vertical="top" wrapText="1"/>
    </xf>
    <xf numFmtId="166" fontId="4" fillId="0" borderId="1" xfId="0" applyNumberFormat="1" applyFont="1" applyBorder="1" applyAlignment="1">
      <alignment vertical="center"/>
    </xf>
    <xf numFmtId="169" fontId="4" fillId="0" borderId="1" xfId="0" applyNumberFormat="1" applyFont="1" applyBorder="1" applyAlignment="1">
      <alignment vertical="center"/>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Monthly received value (USD)</a:t>
            </a:r>
          </a:p>
        </c:rich>
      </c:tx>
      <c:layout/>
    </c:title>
    <c:plotArea>
      <c:layout/>
      <c:barChart>
        <c:barDir val="col"/>
        <c:grouping val="clustered"/>
        <c:ser>
          <c:idx val="0"/>
          <c:order val="0"/>
          <c:tx>
            <c:v>Received value</c:v>
          </c:tx>
          <c:spPr>
            <a:solidFill>
              <a:srgbClr val="1B365D"/>
            </a:solidFill>
          </c:spPr>
          <c:cat>
            <c:strRef>
              <c:f>EXECUTIVE_SUMMARY!$A$13:$A$21</c:f>
              <c:strCache>
                <c:ptCount val="9"/>
                <c:pt idx="0">
                  <c:v>2025-09</c:v>
                </c:pt>
                <c:pt idx="1">
                  <c:v>2025-10</c:v>
                </c:pt>
                <c:pt idx="2">
                  <c:v>2025-11</c:v>
                </c:pt>
                <c:pt idx="3">
                  <c:v>2025-12</c:v>
                </c:pt>
                <c:pt idx="4">
                  <c:v>2026-01</c:v>
                </c:pt>
                <c:pt idx="5">
                  <c:v>2026-02</c:v>
                </c:pt>
                <c:pt idx="6">
                  <c:v>2026-03</c:v>
                </c:pt>
                <c:pt idx="7">
                  <c:v>2026-04</c:v>
                </c:pt>
                <c:pt idx="8">
                  <c:v>2026-05</c:v>
                </c:pt>
              </c:strCache>
            </c:strRef>
          </c:cat>
          <c:val>
            <c:numRef>
              <c:f>EXECUTIVE_SUMMARY!$B$13:$B$21</c:f>
              <c:numCache>
                <c:formatCode>General</c:formatCode>
                <c:ptCount val="9"/>
                <c:pt idx="0">
                  <c:v>114453.14</c:v>
                </c:pt>
                <c:pt idx="1">
                  <c:v>3533227.93</c:v>
                </c:pt>
                <c:pt idx="2">
                  <c:v>4785787.08</c:v>
                </c:pt>
                <c:pt idx="3">
                  <c:v>3668417.52</c:v>
                </c:pt>
                <c:pt idx="4">
                  <c:v>5091552.47</c:v>
                </c:pt>
                <c:pt idx="5">
                  <c:v>3126206.31</c:v>
                </c:pt>
                <c:pt idx="6">
                  <c:v>3722784.93</c:v>
                </c:pt>
                <c:pt idx="7">
                  <c:v>3223456.87</c:v>
                </c:pt>
                <c:pt idx="8">
                  <c:v>930853.62</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numFmt formatCode="$#,##0" sourceLinked="0"/>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On-time delivery by vendor</a:t>
            </a:r>
          </a:p>
        </c:rich>
      </c:tx>
      <c:layout/>
    </c:title>
    <c:plotArea>
      <c:layout/>
      <c:barChart>
        <c:barDir val="bar"/>
        <c:grouping val="clustered"/>
        <c:ser>
          <c:idx val="0"/>
          <c:order val="0"/>
          <c:tx>
            <c:v>Required-date OTD</c:v>
          </c:tx>
          <c:spPr>
            <a:solidFill>
              <a:srgbClr val="1B365D"/>
            </a:solidFill>
          </c:spPr>
          <c:cat>
            <c:strRef>
              <c:f>EXECUTIVE_SUMMARY!$A$26:$A$31</c:f>
              <c:strCache>
                <c:ptCount val="6"/>
                <c:pt idx="0">
                  <c:v>Apex Bar &amp; Tube Co.</c:v>
                </c:pt>
                <c:pt idx="1">
                  <c:v>Heritage Cold Heading</c:v>
                </c:pt>
                <c:pt idx="2">
                  <c:v>Continental Quality Heat Treat</c:v>
                </c:pt>
                <c:pt idx="3">
                  <c:v>Ostmark Werkzeug GmbH</c:v>
                </c:pt>
                <c:pt idx="4">
                  <c:v>Liberty Surface Finishing</c:v>
                </c:pt>
                <c:pt idx="5">
                  <c:v>QuickShip Industrial</c:v>
                </c:pt>
              </c:strCache>
            </c:strRef>
          </c:cat>
          <c:val>
            <c:numRef>
              <c:f>EXECUTIVE_SUMMARY!$B$26:$B$31</c:f>
              <c:numCache>
                <c:formatCode>General</c:formatCode>
                <c:ptCount val="6"/>
                <c:pt idx="0">
                  <c:v>0.8266666666666667</c:v>
                </c:pt>
                <c:pt idx="1">
                  <c:v>0.6926829268292682</c:v>
                </c:pt>
                <c:pt idx="2">
                  <c:v>0.391304347826087</c:v>
                </c:pt>
                <c:pt idx="3">
                  <c:v>0.6666666666666666</c:v>
                </c:pt>
                <c:pt idx="4">
                  <c:v>0.8549222797927462</c:v>
                </c:pt>
                <c:pt idx="5">
                  <c:v>0.9464285714285714</c:v>
                </c:pt>
              </c:numCache>
            </c:numRef>
          </c:val>
        </c:ser>
        <c:ser>
          <c:idx val="1"/>
          <c:order val="1"/>
          <c:tx>
            <c:v>Promise-date OTD</c:v>
          </c:tx>
          <c:spPr>
            <a:solidFill>
              <a:srgbClr val="5D6D7E"/>
            </a:solidFill>
          </c:spPr>
          <c:cat>
            <c:strRef>
              <c:f>EXECUTIVE_SUMMARY!$A$26:$A$31</c:f>
              <c:strCache>
                <c:ptCount val="6"/>
                <c:pt idx="0">
                  <c:v>Apex Bar &amp; Tube Co.</c:v>
                </c:pt>
                <c:pt idx="1">
                  <c:v>Heritage Cold Heading</c:v>
                </c:pt>
                <c:pt idx="2">
                  <c:v>Continental Quality Heat Treat</c:v>
                </c:pt>
                <c:pt idx="3">
                  <c:v>Ostmark Werkzeug GmbH</c:v>
                </c:pt>
                <c:pt idx="4">
                  <c:v>Liberty Surface Finishing</c:v>
                </c:pt>
                <c:pt idx="5">
                  <c:v>QuickShip Industrial</c:v>
                </c:pt>
              </c:strCache>
            </c:strRef>
          </c:cat>
          <c:val>
            <c:numRef>
              <c:f>EXECUTIVE_SUMMARY!$C$26:$C$31</c:f>
              <c:numCache>
                <c:formatCode>General</c:formatCode>
                <c:ptCount val="6"/>
                <c:pt idx="0">
                  <c:v>0.8564593301435407</c:v>
                </c:pt>
                <c:pt idx="1">
                  <c:v>0.7840909090909091</c:v>
                </c:pt>
                <c:pt idx="2">
                  <c:v>0.5663716814159292</c:v>
                </c:pt>
                <c:pt idx="3">
                  <c:v>0.7058823529411765</c:v>
                </c:pt>
                <c:pt idx="4">
                  <c:v>0.910828025477707</c:v>
                </c:pt>
                <c:pt idx="5">
                  <c:v>0.9659090909090909</c:v>
                </c:pt>
              </c:numCache>
            </c:numRef>
          </c:val>
        </c:ser>
        <c:axId val="50020001"/>
        <c:axId val="50020002"/>
      </c:barChart>
      <c:catAx>
        <c:axId val="50020001"/>
        <c:scaling>
          <c:orientation val="minMax"/>
        </c:scaling>
        <c:axPos val="l"/>
        <c:tickLblPos val="nextTo"/>
        <c:crossAx val="50020002"/>
        <c:crosses val="autoZero"/>
        <c:auto val="1"/>
        <c:lblAlgn val="ctr"/>
        <c:lblOffset val="100"/>
      </c:catAx>
      <c:valAx>
        <c:axId val="50020002"/>
        <c:scaling>
          <c:orientation val="minMax"/>
          <c:max val="1"/>
          <c:min val="0"/>
        </c:scaling>
        <c:axPos val="b"/>
        <c:majorGridlines/>
        <c:numFmt formatCode="0%" sourceLinked="0"/>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Received value by month</a:t>
            </a:r>
          </a:p>
        </c:rich>
      </c:tx>
      <c:layout/>
    </c:title>
    <c:plotArea>
      <c:layout/>
      <c:barChart>
        <c:barDir val="col"/>
        <c:grouping val="clustered"/>
        <c:ser>
          <c:idx val="0"/>
          <c:order val="0"/>
          <c:tx>
            <c:v>Received value</c:v>
          </c:tx>
          <c:spPr>
            <a:solidFill>
              <a:srgbClr val="1B365D"/>
            </a:solidFill>
          </c:spPr>
          <c:cat>
            <c:strRef>
              <c:f>MONTHLY_RECEIVED_VALUE!$A$2:$A$10</c:f>
              <c:strCache>
                <c:ptCount val="9"/>
                <c:pt idx="0">
                  <c:v>2025-09</c:v>
                </c:pt>
                <c:pt idx="1">
                  <c:v>2025-10</c:v>
                </c:pt>
                <c:pt idx="2">
                  <c:v>2025-11</c:v>
                </c:pt>
                <c:pt idx="3">
                  <c:v>2025-12</c:v>
                </c:pt>
                <c:pt idx="4">
                  <c:v>2026-01</c:v>
                </c:pt>
                <c:pt idx="5">
                  <c:v>2026-02</c:v>
                </c:pt>
                <c:pt idx="6">
                  <c:v>2026-03</c:v>
                </c:pt>
                <c:pt idx="7">
                  <c:v>2026-04</c:v>
                </c:pt>
                <c:pt idx="8">
                  <c:v>2026-05</c:v>
                </c:pt>
              </c:strCache>
            </c:strRef>
          </c:cat>
          <c:val>
            <c:numRef>
              <c:f>MONTHLY_RECEIVED_VALUE!$B$2:$B$10</c:f>
              <c:numCache>
                <c:formatCode>General</c:formatCode>
                <c:ptCount val="9"/>
                <c:pt idx="0">
                  <c:v>114453.14</c:v>
                </c:pt>
                <c:pt idx="1">
                  <c:v>3533227.93</c:v>
                </c:pt>
                <c:pt idx="2">
                  <c:v>4785787.08</c:v>
                </c:pt>
                <c:pt idx="3">
                  <c:v>3668417.52</c:v>
                </c:pt>
                <c:pt idx="4">
                  <c:v>5091552.47</c:v>
                </c:pt>
                <c:pt idx="5">
                  <c:v>3126206.31</c:v>
                </c:pt>
                <c:pt idx="6">
                  <c:v>3722784.93</c:v>
                </c:pt>
                <c:pt idx="7">
                  <c:v>3223456.87</c:v>
                </c:pt>
                <c:pt idx="8">
                  <c:v>930853.62</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0" sourceLinked="0"/>
        <c:tickLblPos val="nextTo"/>
        <c:crossAx val="5003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10</xdr:row>
      <xdr:rowOff>0</xdr:rowOff>
    </xdr:from>
    <xdr:to>
      <xdr:col>9</xdr:col>
      <xdr:colOff>333375</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23</xdr:row>
      <xdr:rowOff>0</xdr:rowOff>
    </xdr:from>
    <xdr:to>
      <xdr:col>9</xdr:col>
      <xdr:colOff>333375</xdr:colOff>
      <xdr:row>36</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15</xdr:col>
      <xdr:colOff>152400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40"/>
  <sheetViews>
    <sheetView showGridLines="0" tabSelected="1" workbookViewId="0"/>
  </sheetViews>
  <sheetFormatPr defaultRowHeight="15"/>
  <cols>
    <col min="1" max="1" width="28.7109375" customWidth="1"/>
    <col min="2" max="2" width="22.7109375" customWidth="1"/>
    <col min="3" max="9" width="16.7109375" customWidth="1"/>
  </cols>
  <sheetData>
    <row r="1" spans="1:3">
      <c r="A1" s="1" t="s">
        <v>0</v>
      </c>
    </row>
    <row r="2" spans="1:3">
      <c r="A2" s="2" t="s">
        <v>1</v>
      </c>
    </row>
    <row r="4" spans="1:3">
      <c r="A4" s="3" t="s">
        <v>2</v>
      </c>
      <c r="B4" s="4">
        <v>46159</v>
      </c>
    </row>
    <row r="5" spans="1:3">
      <c r="A5" s="3" t="s">
        <v>3</v>
      </c>
      <c r="B5" s="5">
        <v>28196739.87</v>
      </c>
    </row>
    <row r="6" spans="1:3">
      <c r="A6" s="3" t="s">
        <v>4</v>
      </c>
      <c r="B6" s="6">
        <v>6</v>
      </c>
    </row>
    <row r="7" spans="1:3">
      <c r="A7" s="3" t="s">
        <v>5</v>
      </c>
      <c r="B7" s="6">
        <v>930</v>
      </c>
    </row>
    <row r="8" spans="1:3">
      <c r="A8" s="3" t="s">
        <v>6</v>
      </c>
      <c r="B8" s="7">
        <v>0.7430107526881721</v>
      </c>
    </row>
    <row r="9" spans="1:3">
      <c r="A9" s="3" t="s">
        <v>7</v>
      </c>
      <c r="B9" s="2" t="s">
        <v>8</v>
      </c>
    </row>
    <row r="11" spans="1:3">
      <c r="A11" s="8" t="s">
        <v>9</v>
      </c>
    </row>
    <row r="12" spans="1:3">
      <c r="A12" s="9" t="s">
        <v>10</v>
      </c>
      <c r="B12" s="9" t="s">
        <v>11</v>
      </c>
      <c r="C12" s="9" t="s">
        <v>12</v>
      </c>
    </row>
    <row r="13" spans="1:3">
      <c r="A13" s="10" t="s">
        <v>13</v>
      </c>
      <c r="B13" s="11">
        <v>114453.14</v>
      </c>
      <c r="C13" s="10"/>
    </row>
    <row r="14" spans="1:3">
      <c r="A14" s="10" t="s">
        <v>14</v>
      </c>
      <c r="B14" s="11">
        <v>3533227.93</v>
      </c>
      <c r="C14" s="10"/>
    </row>
    <row r="15" spans="1:3">
      <c r="A15" s="10" t="s">
        <v>15</v>
      </c>
      <c r="B15" s="11">
        <v>4785787.08</v>
      </c>
      <c r="C15" s="10"/>
    </row>
    <row r="16" spans="1:3">
      <c r="A16" s="10" t="s">
        <v>16</v>
      </c>
      <c r="B16" s="11">
        <v>3668417.52</v>
      </c>
      <c r="C16" s="10"/>
    </row>
    <row r="17" spans="1:3">
      <c r="A17" s="10" t="s">
        <v>17</v>
      </c>
      <c r="B17" s="11">
        <v>5091552.47</v>
      </c>
      <c r="C17" s="10"/>
    </row>
    <row r="18" spans="1:3">
      <c r="A18" s="10" t="s">
        <v>18</v>
      </c>
      <c r="B18" s="11">
        <v>3126206.31</v>
      </c>
      <c r="C18" s="10"/>
    </row>
    <row r="19" spans="1:3">
      <c r="A19" s="10" t="s">
        <v>19</v>
      </c>
      <c r="B19" s="11">
        <v>3722784.93</v>
      </c>
      <c r="C19" s="10"/>
    </row>
    <row r="20" spans="1:3">
      <c r="A20" s="10" t="s">
        <v>20</v>
      </c>
      <c r="B20" s="11">
        <v>3223456.87</v>
      </c>
      <c r="C20" s="10"/>
    </row>
    <row r="21" spans="1:3">
      <c r="A21" s="10" t="s">
        <v>21</v>
      </c>
      <c r="B21" s="12">
        <v>930853.62</v>
      </c>
      <c r="C21" s="10" t="s">
        <v>22</v>
      </c>
    </row>
    <row r="24" spans="1:3">
      <c r="A24" s="8" t="s">
        <v>23</v>
      </c>
    </row>
    <row r="25" spans="1:3">
      <c r="A25" s="9" t="s">
        <v>24</v>
      </c>
      <c r="B25" s="9" t="s">
        <v>25</v>
      </c>
      <c r="C25" s="9" t="s">
        <v>26</v>
      </c>
    </row>
    <row r="26" spans="1:3">
      <c r="A26" s="10" t="s">
        <v>27</v>
      </c>
      <c r="B26" s="13">
        <v>0.8266666666666667</v>
      </c>
      <c r="C26" s="13">
        <v>0.8564593301435407</v>
      </c>
    </row>
    <row r="27" spans="1:3">
      <c r="A27" s="10" t="s">
        <v>28</v>
      </c>
      <c r="B27" s="13">
        <v>0.6926829268292682</v>
      </c>
      <c r="C27" s="13">
        <v>0.7840909090909091</v>
      </c>
    </row>
    <row r="28" spans="1:3">
      <c r="A28" s="10" t="s">
        <v>29</v>
      </c>
      <c r="B28" s="13">
        <v>0.391304347826087</v>
      </c>
      <c r="C28" s="13">
        <v>0.5663716814159292</v>
      </c>
    </row>
    <row r="29" spans="1:3">
      <c r="A29" s="10" t="s">
        <v>30</v>
      </c>
      <c r="B29" s="13">
        <v>0.6666666666666666</v>
      </c>
      <c r="C29" s="13">
        <v>0.7058823529411765</v>
      </c>
    </row>
    <row r="30" spans="1:3">
      <c r="A30" s="10" t="s">
        <v>31</v>
      </c>
      <c r="B30" s="13">
        <v>0.8549222797927462</v>
      </c>
      <c r="C30" s="13">
        <v>0.910828025477707</v>
      </c>
    </row>
    <row r="31" spans="1:3">
      <c r="A31" s="10" t="s">
        <v>32</v>
      </c>
      <c r="B31" s="13">
        <v>0.9464285714285714</v>
      </c>
      <c r="C31" s="13">
        <v>0.9659090909090909</v>
      </c>
    </row>
    <row r="34" spans="1:4">
      <c r="A34" s="8" t="s">
        <v>33</v>
      </c>
    </row>
    <row r="35" spans="1:4" ht="28" customHeight="1">
      <c r="A35" s="14" t="s">
        <v>34</v>
      </c>
      <c r="B35" s="14"/>
      <c r="C35" s="14"/>
      <c r="D35" s="14"/>
    </row>
    <row r="36" spans="1:4">
      <c r="A36" s="14"/>
      <c r="B36" s="14"/>
      <c r="C36" s="14"/>
      <c r="D36" s="14"/>
    </row>
    <row r="37" spans="1:4">
      <c r="A37" s="14"/>
      <c r="B37" s="14"/>
      <c r="C37" s="14"/>
      <c r="D37" s="14"/>
    </row>
    <row r="38" spans="1:4">
      <c r="A38" s="14"/>
      <c r="B38" s="14"/>
      <c r="C38" s="14"/>
      <c r="D38" s="14"/>
    </row>
    <row r="39" spans="1:4">
      <c r="A39" s="14"/>
      <c r="B39" s="14"/>
      <c r="C39" s="14"/>
      <c r="D39" s="14"/>
    </row>
    <row r="40" spans="1:4">
      <c r="A40" s="14"/>
      <c r="B40" s="14"/>
      <c r="C40" s="14"/>
      <c r="D40" s="14"/>
    </row>
  </sheetData>
  <mergeCells count="1">
    <mergeCell ref="A35:D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P7"/>
  <sheetViews>
    <sheetView workbookViewId="0">
      <pane ySplit="1" topLeftCell="A2" activePane="bottomLeft" state="frozen"/>
      <selection pane="bottomLeft"/>
    </sheetView>
  </sheetViews>
  <sheetFormatPr defaultRowHeight="15"/>
  <cols>
    <col min="1" max="1" width="12.7109375" customWidth="1"/>
    <col min="2" max="2" width="34.7109375" customWidth="1"/>
    <col min="3" max="3" width="16.7109375" customWidth="1"/>
    <col min="4" max="4" width="12.7109375" customWidth="1"/>
    <col min="5" max="6" width="18.7109375" customWidth="1"/>
    <col min="7" max="7" width="16.7109375" customWidth="1"/>
    <col min="8" max="8" width="18.7109375" customWidth="1"/>
    <col min="9" max="9" width="22.7109375" customWidth="1"/>
    <col min="10" max="11" width="18.7109375" customWidth="1"/>
    <col min="12" max="13" width="22.7109375" customWidth="1"/>
    <col min="14" max="14" width="18.7109375" customWidth="1"/>
    <col min="15" max="15" width="12.7109375" customWidth="1"/>
    <col min="16" max="16" width="14.7109375" customWidth="1"/>
  </cols>
  <sheetData>
    <row r="1" spans="1:16" ht="32" customHeight="1">
      <c r="A1" s="9" t="s">
        <v>35</v>
      </c>
      <c r="B1" s="9" t="s">
        <v>36</v>
      </c>
      <c r="C1" s="9" t="s">
        <v>37</v>
      </c>
      <c r="D1" s="9" t="s">
        <v>38</v>
      </c>
      <c r="E1" s="9" t="s">
        <v>39</v>
      </c>
      <c r="F1" s="9" t="s">
        <v>40</v>
      </c>
      <c r="G1" s="9" t="s">
        <v>41</v>
      </c>
      <c r="H1" s="9" t="s">
        <v>42</v>
      </c>
      <c r="I1" s="9" t="s">
        <v>43</v>
      </c>
      <c r="J1" s="9" t="s">
        <v>44</v>
      </c>
      <c r="K1" s="9" t="s">
        <v>45</v>
      </c>
      <c r="L1" s="9" t="s">
        <v>46</v>
      </c>
      <c r="M1" s="9" t="s">
        <v>47</v>
      </c>
      <c r="N1" s="9" t="s">
        <v>48</v>
      </c>
      <c r="O1" s="9" t="s">
        <v>49</v>
      </c>
      <c r="P1" s="9" t="s">
        <v>50</v>
      </c>
    </row>
    <row r="2" spans="1:16">
      <c r="A2" s="10" t="s">
        <v>51</v>
      </c>
      <c r="B2" s="10" t="s">
        <v>29</v>
      </c>
      <c r="C2" s="11">
        <v>1508567.4</v>
      </c>
      <c r="D2" s="15">
        <v>138</v>
      </c>
      <c r="E2" s="15">
        <v>130</v>
      </c>
      <c r="F2" s="13">
        <v>0.391304347826087</v>
      </c>
      <c r="G2" s="15">
        <v>113</v>
      </c>
      <c r="H2" s="13">
        <v>0.5663716814159292</v>
      </c>
      <c r="I2" s="16">
        <v>15.60526315789474</v>
      </c>
      <c r="J2" s="15">
        <v>8</v>
      </c>
      <c r="K2" s="16">
        <v>8.513274336283185</v>
      </c>
      <c r="L2" s="13">
        <v>0.911504424778761</v>
      </c>
      <c r="M2" s="16">
        <v>9.339805825242719</v>
      </c>
      <c r="N2" s="16">
        <v>3.168141592920354</v>
      </c>
      <c r="O2" s="15">
        <v>7</v>
      </c>
      <c r="P2" s="15">
        <v>1</v>
      </c>
    </row>
    <row r="3" spans="1:16">
      <c r="A3" s="10" t="s">
        <v>52</v>
      </c>
      <c r="B3" s="10" t="s">
        <v>30</v>
      </c>
      <c r="C3" s="11">
        <v>867316.8</v>
      </c>
      <c r="D3" s="15">
        <v>57</v>
      </c>
      <c r="E3" s="15">
        <v>55</v>
      </c>
      <c r="F3" s="13">
        <v>0.6666666666666666</v>
      </c>
      <c r="G3" s="15">
        <v>51</v>
      </c>
      <c r="H3" s="13">
        <v>0.7058823529411765</v>
      </c>
      <c r="I3" s="16">
        <v>2.470588235294118</v>
      </c>
      <c r="J3" s="15">
        <v>2</v>
      </c>
      <c r="K3" s="16">
        <v>0.1851851851851852</v>
      </c>
      <c r="L3" s="13">
        <v>0.1851851851851852</v>
      </c>
      <c r="M3" s="16">
        <v>1</v>
      </c>
      <c r="N3" s="16">
        <v>2.981481481481481</v>
      </c>
      <c r="O3" s="15">
        <v>3</v>
      </c>
      <c r="P3" s="15">
        <v>0</v>
      </c>
    </row>
    <row r="4" spans="1:16">
      <c r="A4" s="10" t="s">
        <v>53</v>
      </c>
      <c r="B4" s="10" t="s">
        <v>28</v>
      </c>
      <c r="C4" s="11">
        <v>1721393.87</v>
      </c>
      <c r="D4" s="15">
        <v>205</v>
      </c>
      <c r="E4" s="15">
        <v>195</v>
      </c>
      <c r="F4" s="13">
        <v>0.6926829268292682</v>
      </c>
      <c r="G4" s="15">
        <v>176</v>
      </c>
      <c r="H4" s="13">
        <v>0.7840909090909091</v>
      </c>
      <c r="I4" s="16">
        <v>3.245283018867925</v>
      </c>
      <c r="J4" s="15">
        <v>10</v>
      </c>
      <c r="K4" s="16">
        <v>2.636363636363636</v>
      </c>
      <c r="L4" s="13">
        <v>0.5965909090909091</v>
      </c>
      <c r="M4" s="16">
        <v>4.419047619047619</v>
      </c>
      <c r="N4" s="16">
        <v>3.25</v>
      </c>
      <c r="O4" s="15">
        <v>7</v>
      </c>
      <c r="P4" s="15">
        <v>0</v>
      </c>
    </row>
    <row r="5" spans="1:16">
      <c r="A5" s="10" t="s">
        <v>54</v>
      </c>
      <c r="B5" s="10" t="s">
        <v>27</v>
      </c>
      <c r="C5" s="11">
        <v>23978261.68</v>
      </c>
      <c r="D5" s="15">
        <v>225</v>
      </c>
      <c r="E5" s="15">
        <v>214</v>
      </c>
      <c r="F5" s="13">
        <v>0.8266666666666667</v>
      </c>
      <c r="G5" s="15">
        <v>209</v>
      </c>
      <c r="H5" s="13">
        <v>0.8564593301435407</v>
      </c>
      <c r="I5" s="16">
        <v>1.857142857142857</v>
      </c>
      <c r="J5" s="15">
        <v>11</v>
      </c>
      <c r="K5" s="16">
        <v>0.2344497607655502</v>
      </c>
      <c r="L5" s="13">
        <v>0.1866028708133971</v>
      </c>
      <c r="M5" s="16">
        <v>1.256410256410256</v>
      </c>
      <c r="N5" s="16">
        <v>3.033492822966507</v>
      </c>
      <c r="O5" s="15">
        <v>9</v>
      </c>
      <c r="P5" s="15">
        <v>2</v>
      </c>
    </row>
    <row r="6" spans="1:16">
      <c r="A6" s="10" t="s">
        <v>55</v>
      </c>
      <c r="B6" s="10" t="s">
        <v>31</v>
      </c>
      <c r="C6" s="11">
        <v>107952</v>
      </c>
      <c r="D6" s="15">
        <v>193</v>
      </c>
      <c r="E6" s="15">
        <v>182</v>
      </c>
      <c r="F6" s="13">
        <v>0.8549222797927462</v>
      </c>
      <c r="G6" s="15">
        <v>157</v>
      </c>
      <c r="H6" s="13">
        <v>0.910828025477707</v>
      </c>
      <c r="I6" s="16">
        <v>1.470588235294118</v>
      </c>
      <c r="J6" s="15">
        <v>11</v>
      </c>
      <c r="K6" s="16">
        <v>0.2356687898089172</v>
      </c>
      <c r="L6" s="13">
        <v>0.1974522292993631</v>
      </c>
      <c r="M6" s="16">
        <v>1.193548387096774</v>
      </c>
      <c r="N6" s="16">
        <v>3.114649681528662</v>
      </c>
      <c r="O6" s="15">
        <v>8</v>
      </c>
      <c r="P6" s="15">
        <v>0</v>
      </c>
    </row>
    <row r="7" spans="1:16">
      <c r="A7" s="10" t="s">
        <v>56</v>
      </c>
      <c r="B7" s="10" t="s">
        <v>32</v>
      </c>
      <c r="C7" s="11">
        <v>13248.12</v>
      </c>
      <c r="D7" s="15">
        <v>112</v>
      </c>
      <c r="E7" s="15">
        <v>107</v>
      </c>
      <c r="F7" s="13">
        <v>0.9464285714285714</v>
      </c>
      <c r="G7" s="15">
        <v>88</v>
      </c>
      <c r="H7" s="13">
        <v>0.9659090909090909</v>
      </c>
      <c r="I7" s="16">
        <v>1</v>
      </c>
      <c r="J7" s="15">
        <v>5</v>
      </c>
      <c r="K7" s="16">
        <v>0.1818181818181818</v>
      </c>
      <c r="L7" s="13">
        <v>0.1590909090909091</v>
      </c>
      <c r="M7" s="16">
        <v>1.142857142857143</v>
      </c>
      <c r="N7" s="16">
        <v>3.227272727272727</v>
      </c>
      <c r="O7" s="15">
        <v>1</v>
      </c>
      <c r="P7" s="15">
        <v>1</v>
      </c>
    </row>
  </sheetData>
  <autoFilter ref="A1:P7"/>
  <conditionalFormatting sqref="F2:F7">
    <cfRule type="colorScale" priority="1">
      <colorScale>
        <cfvo type="min" val="0"/>
        <cfvo type="percentile" val="50"/>
        <cfvo type="max" val="0"/>
        <color rgb="FFC0392B"/>
        <color rgb="FFF4D03F"/>
        <color rgb="FF1E8449"/>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pane ySplit="1" topLeftCell="A2" activePane="bottomLeft" state="frozen"/>
      <selection pane="bottomLeft"/>
    </sheetView>
  </sheetViews>
  <sheetFormatPr defaultRowHeight="15"/>
  <cols>
    <col min="1" max="1" width="14.7109375" customWidth="1"/>
    <col min="2" max="2" width="22.7109375" customWidth="1"/>
    <col min="3" max="3" width="16.7109375" customWidth="1"/>
  </cols>
  <sheetData>
    <row r="1" spans="1:3" ht="32" customHeight="1">
      <c r="A1" s="9" t="s">
        <v>10</v>
      </c>
      <c r="B1" s="9" t="s">
        <v>57</v>
      </c>
      <c r="C1" s="9" t="s">
        <v>58</v>
      </c>
    </row>
    <row r="2" spans="1:3">
      <c r="A2" s="10" t="s">
        <v>13</v>
      </c>
      <c r="B2" s="11">
        <v>114453.14</v>
      </c>
      <c r="C2" s="10"/>
    </row>
    <row r="3" spans="1:3">
      <c r="A3" s="10" t="s">
        <v>14</v>
      </c>
      <c r="B3" s="11">
        <v>3533227.93</v>
      </c>
      <c r="C3" s="10"/>
    </row>
    <row r="4" spans="1:3">
      <c r="A4" s="10" t="s">
        <v>15</v>
      </c>
      <c r="B4" s="11">
        <v>4785787.08</v>
      </c>
      <c r="C4" s="10"/>
    </row>
    <row r="5" spans="1:3">
      <c r="A5" s="10" t="s">
        <v>16</v>
      </c>
      <c r="B5" s="11">
        <v>3668417.52</v>
      </c>
      <c r="C5" s="10"/>
    </row>
    <row r="6" spans="1:3">
      <c r="A6" s="10" t="s">
        <v>17</v>
      </c>
      <c r="B6" s="11">
        <v>5091552.47</v>
      </c>
      <c r="C6" s="10"/>
    </row>
    <row r="7" spans="1:3">
      <c r="A7" s="10" t="s">
        <v>18</v>
      </c>
      <c r="B7" s="11">
        <v>3126206.31</v>
      </c>
      <c r="C7" s="10"/>
    </row>
    <row r="8" spans="1:3">
      <c r="A8" s="10" t="s">
        <v>19</v>
      </c>
      <c r="B8" s="11">
        <v>3722784.93</v>
      </c>
      <c r="C8" s="10"/>
    </row>
    <row r="9" spans="1:3">
      <c r="A9" s="10" t="s">
        <v>20</v>
      </c>
      <c r="B9" s="11">
        <v>3223456.87</v>
      </c>
      <c r="C9" s="10"/>
    </row>
    <row r="10" spans="1:3">
      <c r="A10" s="10" t="s">
        <v>21</v>
      </c>
      <c r="B10" s="12">
        <v>930853.62</v>
      </c>
      <c r="C10" s="10" t="s">
        <v>22</v>
      </c>
    </row>
  </sheetData>
  <autoFilter ref="A1:C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240"/>
  <sheetViews>
    <sheetView workbookViewId="0">
      <pane ySplit="1" topLeftCell="A2" activePane="bottomLeft" state="frozen"/>
      <selection pane="bottomLeft"/>
    </sheetView>
  </sheetViews>
  <sheetFormatPr defaultRowHeight="15"/>
  <cols>
    <col min="1" max="1" width="32.7109375" customWidth="1"/>
    <col min="2" max="2" width="16.7109375" customWidth="1"/>
    <col min="3" max="3" width="8.7109375" customWidth="1"/>
    <col min="4" max="4" width="16.7109375" customWidth="1"/>
    <col min="5" max="5" width="12.7109375" customWidth="1"/>
    <col min="6" max="6" width="14.7109375" customWidth="1"/>
    <col min="7" max="7" width="16.7109375" customWidth="1"/>
    <col min="8" max="8" width="14.7109375" customWidth="1"/>
    <col min="9" max="9" width="18.7109375" customWidth="1"/>
    <col min="10" max="10" width="16.7109375" customWidth="1"/>
    <col min="11" max="11" width="12.7109375" customWidth="1"/>
    <col min="12" max="12" width="18.7109375" customWidth="1"/>
  </cols>
  <sheetData>
    <row r="1" spans="1:12" ht="32" customHeight="1">
      <c r="A1" s="9" t="s">
        <v>24</v>
      </c>
      <c r="B1" s="9" t="s">
        <v>59</v>
      </c>
      <c r="C1" s="9" t="s">
        <v>60</v>
      </c>
      <c r="D1" s="9" t="s">
        <v>61</v>
      </c>
      <c r="E1" s="9" t="s">
        <v>62</v>
      </c>
      <c r="F1" s="9" t="s">
        <v>63</v>
      </c>
      <c r="G1" s="9" t="s">
        <v>64</v>
      </c>
      <c r="H1" s="9" t="s">
        <v>65</v>
      </c>
      <c r="I1" s="9" t="s">
        <v>66</v>
      </c>
      <c r="J1" s="9" t="s">
        <v>67</v>
      </c>
      <c r="K1" s="9" t="s">
        <v>68</v>
      </c>
      <c r="L1" s="9" t="s">
        <v>69</v>
      </c>
    </row>
    <row r="2" spans="1:12">
      <c r="A2" s="10" t="s">
        <v>27</v>
      </c>
      <c r="B2" s="10" t="s">
        <v>70</v>
      </c>
      <c r="C2" s="15">
        <v>2</v>
      </c>
      <c r="D2" s="10" t="s">
        <v>71</v>
      </c>
      <c r="E2" s="15">
        <v>22400</v>
      </c>
      <c r="F2" s="4">
        <v>45944</v>
      </c>
      <c r="G2" s="10"/>
      <c r="H2" s="4">
        <v>45944</v>
      </c>
      <c r="I2" s="15">
        <v>215</v>
      </c>
      <c r="J2" s="10"/>
      <c r="K2" s="10" t="s">
        <v>72</v>
      </c>
      <c r="L2" s="11">
        <v>477157.5</v>
      </c>
    </row>
    <row r="3" spans="1:12">
      <c r="A3" s="10" t="s">
        <v>28</v>
      </c>
      <c r="B3" s="10" t="s">
        <v>73</v>
      </c>
      <c r="C3" s="15">
        <v>1</v>
      </c>
      <c r="D3" s="10" t="s">
        <v>74</v>
      </c>
      <c r="E3" s="15">
        <v>1100</v>
      </c>
      <c r="F3" s="4">
        <v>45947</v>
      </c>
      <c r="G3" s="10"/>
      <c r="H3" s="4">
        <v>45952</v>
      </c>
      <c r="I3" s="15">
        <v>212</v>
      </c>
      <c r="J3" s="10"/>
      <c r="K3" s="10" t="s">
        <v>72</v>
      </c>
      <c r="L3" s="11">
        <v>865.2</v>
      </c>
    </row>
    <row r="4" spans="1:12">
      <c r="A4" s="10" t="s">
        <v>29</v>
      </c>
      <c r="B4" s="10" t="s">
        <v>75</v>
      </c>
      <c r="C4" s="15">
        <v>2</v>
      </c>
      <c r="D4" s="10" t="s">
        <v>76</v>
      </c>
      <c r="E4" s="15">
        <v>2150</v>
      </c>
      <c r="F4" s="4">
        <v>45954</v>
      </c>
      <c r="G4" s="10"/>
      <c r="H4" s="4">
        <v>45961</v>
      </c>
      <c r="I4" s="15">
        <v>205</v>
      </c>
      <c r="J4" s="10"/>
      <c r="K4" s="10" t="s">
        <v>72</v>
      </c>
      <c r="L4" s="11">
        <v>4934.4</v>
      </c>
    </row>
    <row r="5" spans="1:12">
      <c r="A5" s="10" t="s">
        <v>28</v>
      </c>
      <c r="B5" s="10" t="s">
        <v>77</v>
      </c>
      <c r="C5" s="15">
        <v>1</v>
      </c>
      <c r="D5" s="10" t="s">
        <v>74</v>
      </c>
      <c r="E5" s="15">
        <v>16900</v>
      </c>
      <c r="F5" s="4">
        <v>45961</v>
      </c>
      <c r="G5" s="10"/>
      <c r="H5" s="4">
        <v>45961</v>
      </c>
      <c r="I5" s="15">
        <v>198</v>
      </c>
      <c r="J5" s="10"/>
      <c r="K5" s="10" t="s">
        <v>72</v>
      </c>
      <c r="L5" s="11">
        <v>13647.48</v>
      </c>
    </row>
    <row r="6" spans="1:12">
      <c r="A6" s="10" t="s">
        <v>28</v>
      </c>
      <c r="B6" s="10" t="s">
        <v>78</v>
      </c>
      <c r="C6" s="15">
        <v>1</v>
      </c>
      <c r="D6" s="10" t="s">
        <v>79</v>
      </c>
      <c r="E6" s="15">
        <v>14100</v>
      </c>
      <c r="F6" s="4">
        <v>45967</v>
      </c>
      <c r="G6" s="10"/>
      <c r="H6" s="4">
        <v>45967</v>
      </c>
      <c r="I6" s="15">
        <v>192</v>
      </c>
      <c r="J6" s="10"/>
      <c r="K6" s="10" t="s">
        <v>72</v>
      </c>
      <c r="L6" s="11">
        <v>5548.94</v>
      </c>
    </row>
    <row r="7" spans="1:12">
      <c r="A7" s="10" t="s">
        <v>31</v>
      </c>
      <c r="B7" s="10" t="s">
        <v>80</v>
      </c>
      <c r="C7" s="15">
        <v>1</v>
      </c>
      <c r="D7" s="10" t="s">
        <v>81</v>
      </c>
      <c r="E7" s="15">
        <v>6600</v>
      </c>
      <c r="F7" s="4">
        <v>45967</v>
      </c>
      <c r="G7" s="10"/>
      <c r="H7" s="10"/>
      <c r="I7" s="15">
        <v>192</v>
      </c>
      <c r="J7" s="10"/>
      <c r="K7" s="10" t="s">
        <v>72</v>
      </c>
      <c r="L7" s="11">
        <v>867.72</v>
      </c>
    </row>
    <row r="8" spans="1:12">
      <c r="A8" s="10" t="s">
        <v>32</v>
      </c>
      <c r="B8" s="10" t="s">
        <v>82</v>
      </c>
      <c r="C8" s="15">
        <v>1</v>
      </c>
      <c r="D8" s="10" t="s">
        <v>83</v>
      </c>
      <c r="E8" s="15">
        <v>1760</v>
      </c>
      <c r="F8" s="4">
        <v>45967</v>
      </c>
      <c r="G8" s="10"/>
      <c r="H8" s="10"/>
      <c r="I8" s="15">
        <v>192</v>
      </c>
      <c r="J8" s="10"/>
      <c r="K8" s="10" t="s">
        <v>72</v>
      </c>
      <c r="L8" s="11">
        <v>0</v>
      </c>
    </row>
    <row r="9" spans="1:12">
      <c r="A9" s="10" t="s">
        <v>31</v>
      </c>
      <c r="B9" s="10" t="s">
        <v>84</v>
      </c>
      <c r="C9" s="15">
        <v>2</v>
      </c>
      <c r="D9" s="10" t="s">
        <v>85</v>
      </c>
      <c r="E9" s="15">
        <v>550</v>
      </c>
      <c r="F9" s="4">
        <v>45971</v>
      </c>
      <c r="G9" s="10"/>
      <c r="H9" s="4">
        <v>45971</v>
      </c>
      <c r="I9" s="15">
        <v>188</v>
      </c>
      <c r="J9" s="10"/>
      <c r="K9" s="10" t="s">
        <v>72</v>
      </c>
      <c r="L9" s="11">
        <v>41.28</v>
      </c>
    </row>
    <row r="10" spans="1:12">
      <c r="A10" s="10" t="s">
        <v>28</v>
      </c>
      <c r="B10" s="10" t="s">
        <v>86</v>
      </c>
      <c r="C10" s="15">
        <v>3</v>
      </c>
      <c r="D10" s="10" t="s">
        <v>87</v>
      </c>
      <c r="E10" s="15">
        <v>21900</v>
      </c>
      <c r="F10" s="4">
        <v>46001</v>
      </c>
      <c r="G10" s="10"/>
      <c r="H10" s="4">
        <v>46009</v>
      </c>
      <c r="I10" s="15">
        <v>158</v>
      </c>
      <c r="J10" s="10"/>
      <c r="K10" s="10" t="s">
        <v>72</v>
      </c>
      <c r="L10" s="11">
        <v>10938.4</v>
      </c>
    </row>
    <row r="11" spans="1:12">
      <c r="A11" s="10" t="s">
        <v>29</v>
      </c>
      <c r="B11" s="10" t="s">
        <v>88</v>
      </c>
      <c r="C11" s="15">
        <v>1</v>
      </c>
      <c r="D11" s="10" t="s">
        <v>89</v>
      </c>
      <c r="E11" s="15">
        <v>8350</v>
      </c>
      <c r="F11" s="4">
        <v>46008</v>
      </c>
      <c r="G11" s="10"/>
      <c r="H11" s="10"/>
      <c r="I11" s="15">
        <v>151</v>
      </c>
      <c r="J11" s="10"/>
      <c r="K11" s="10" t="s">
        <v>72</v>
      </c>
      <c r="L11" s="11">
        <v>24676</v>
      </c>
    </row>
    <row r="12" spans="1:12">
      <c r="A12" s="10" t="s">
        <v>31</v>
      </c>
      <c r="B12" s="10" t="s">
        <v>90</v>
      </c>
      <c r="C12" s="15">
        <v>2</v>
      </c>
      <c r="D12" s="10" t="s">
        <v>85</v>
      </c>
      <c r="E12" s="15">
        <v>900</v>
      </c>
      <c r="F12" s="4">
        <v>46013</v>
      </c>
      <c r="G12" s="10"/>
      <c r="H12" s="4">
        <v>46013</v>
      </c>
      <c r="I12" s="15">
        <v>146</v>
      </c>
      <c r="J12" s="10"/>
      <c r="K12" s="10" t="s">
        <v>72</v>
      </c>
      <c r="L12" s="11">
        <v>68</v>
      </c>
    </row>
    <row r="13" spans="1:12">
      <c r="A13" s="10" t="s">
        <v>29</v>
      </c>
      <c r="B13" s="10" t="s">
        <v>91</v>
      </c>
      <c r="C13" s="15">
        <v>1</v>
      </c>
      <c r="D13" s="10" t="s">
        <v>76</v>
      </c>
      <c r="E13" s="15">
        <v>1250</v>
      </c>
      <c r="F13" s="4">
        <v>46015</v>
      </c>
      <c r="G13" s="10"/>
      <c r="H13" s="4">
        <v>46033</v>
      </c>
      <c r="I13" s="15">
        <v>144</v>
      </c>
      <c r="J13" s="10"/>
      <c r="K13" s="10" t="s">
        <v>72</v>
      </c>
      <c r="L13" s="11">
        <v>2882.4</v>
      </c>
    </row>
    <row r="14" spans="1:12">
      <c r="A14" s="10" t="s">
        <v>27</v>
      </c>
      <c r="B14" s="10" t="s">
        <v>92</v>
      </c>
      <c r="C14" s="15">
        <v>1</v>
      </c>
      <c r="D14" s="10" t="s">
        <v>71</v>
      </c>
      <c r="E14" s="15">
        <v>6700</v>
      </c>
      <c r="F14" s="4">
        <v>46017</v>
      </c>
      <c r="G14" s="10"/>
      <c r="H14" s="4">
        <v>46018</v>
      </c>
      <c r="I14" s="15">
        <v>142</v>
      </c>
      <c r="J14" s="10"/>
      <c r="K14" s="10" t="s">
        <v>72</v>
      </c>
      <c r="L14" s="11">
        <v>138307.5</v>
      </c>
    </row>
    <row r="15" spans="1:12">
      <c r="A15" s="10" t="s">
        <v>32</v>
      </c>
      <c r="B15" s="10" t="s">
        <v>93</v>
      </c>
      <c r="C15" s="15">
        <v>1</v>
      </c>
      <c r="D15" s="10" t="s">
        <v>83</v>
      </c>
      <c r="E15" s="15">
        <v>600</v>
      </c>
      <c r="F15" s="4">
        <v>46017</v>
      </c>
      <c r="G15" s="10"/>
      <c r="H15" s="4">
        <v>46017</v>
      </c>
      <c r="I15" s="15">
        <v>142</v>
      </c>
      <c r="J15" s="10"/>
      <c r="K15" s="10" t="s">
        <v>72</v>
      </c>
      <c r="L15" s="11">
        <v>34.14</v>
      </c>
    </row>
    <row r="16" spans="1:12">
      <c r="A16" s="10" t="s">
        <v>31</v>
      </c>
      <c r="B16" s="10" t="s">
        <v>94</v>
      </c>
      <c r="C16" s="15">
        <v>2</v>
      </c>
      <c r="D16" s="10" t="s">
        <v>81</v>
      </c>
      <c r="E16" s="15">
        <v>6350</v>
      </c>
      <c r="F16" s="4">
        <v>46037</v>
      </c>
      <c r="G16" s="10"/>
      <c r="H16" s="4">
        <v>46037</v>
      </c>
      <c r="I16" s="15">
        <v>122</v>
      </c>
      <c r="J16" s="10"/>
      <c r="K16" s="10" t="s">
        <v>72</v>
      </c>
      <c r="L16" s="11">
        <v>825.58</v>
      </c>
    </row>
    <row r="17" spans="1:12">
      <c r="A17" s="10" t="s">
        <v>28</v>
      </c>
      <c r="B17" s="10" t="s">
        <v>95</v>
      </c>
      <c r="C17" s="15">
        <v>2</v>
      </c>
      <c r="D17" s="10" t="s">
        <v>87</v>
      </c>
      <c r="E17" s="15">
        <v>8800</v>
      </c>
      <c r="F17" s="4">
        <v>46042</v>
      </c>
      <c r="G17" s="10"/>
      <c r="H17" s="4">
        <v>46048</v>
      </c>
      <c r="I17" s="15">
        <v>117</v>
      </c>
      <c r="J17" s="10"/>
      <c r="K17" s="10" t="s">
        <v>72</v>
      </c>
      <c r="L17" s="11">
        <v>4430.25</v>
      </c>
    </row>
    <row r="18" spans="1:12">
      <c r="A18" s="10" t="s">
        <v>29</v>
      </c>
      <c r="B18" s="10" t="s">
        <v>96</v>
      </c>
      <c r="C18" s="15">
        <v>1</v>
      </c>
      <c r="D18" s="10" t="s">
        <v>89</v>
      </c>
      <c r="E18" s="15">
        <v>5550</v>
      </c>
      <c r="F18" s="4">
        <v>46055</v>
      </c>
      <c r="G18" s="10"/>
      <c r="H18" s="10"/>
      <c r="I18" s="15">
        <v>104</v>
      </c>
      <c r="J18" s="10"/>
      <c r="K18" s="10" t="s">
        <v>72</v>
      </c>
      <c r="L18" s="11">
        <v>0</v>
      </c>
    </row>
    <row r="19" spans="1:12">
      <c r="A19" s="10" t="s">
        <v>28</v>
      </c>
      <c r="B19" s="10" t="s">
        <v>97</v>
      </c>
      <c r="C19" s="15">
        <v>2</v>
      </c>
      <c r="D19" s="10" t="s">
        <v>74</v>
      </c>
      <c r="E19" s="15">
        <v>9500</v>
      </c>
      <c r="F19" s="4">
        <v>46056</v>
      </c>
      <c r="G19" s="10"/>
      <c r="H19" s="4">
        <v>46056</v>
      </c>
      <c r="I19" s="15">
        <v>103</v>
      </c>
      <c r="J19" s="10"/>
      <c r="K19" s="10" t="s">
        <v>72</v>
      </c>
      <c r="L19" s="11">
        <v>7386.12</v>
      </c>
    </row>
    <row r="20" spans="1:12">
      <c r="A20" s="10" t="s">
        <v>28</v>
      </c>
      <c r="B20" s="10" t="s">
        <v>98</v>
      </c>
      <c r="C20" s="15">
        <v>1</v>
      </c>
      <c r="D20" s="10" t="s">
        <v>74</v>
      </c>
      <c r="E20" s="15">
        <v>18200</v>
      </c>
      <c r="F20" s="4">
        <v>46072</v>
      </c>
      <c r="G20" s="10"/>
      <c r="H20" s="4">
        <v>46075</v>
      </c>
      <c r="I20" s="15">
        <v>87</v>
      </c>
      <c r="J20" s="10"/>
      <c r="K20" s="10" t="s">
        <v>72</v>
      </c>
      <c r="L20" s="11">
        <v>14514.36</v>
      </c>
    </row>
    <row r="21" spans="1:12">
      <c r="A21" s="10" t="s">
        <v>32</v>
      </c>
      <c r="B21" s="10" t="s">
        <v>99</v>
      </c>
      <c r="C21" s="15">
        <v>1</v>
      </c>
      <c r="D21" s="10" t="s">
        <v>100</v>
      </c>
      <c r="E21" s="15">
        <v>200</v>
      </c>
      <c r="F21" s="4">
        <v>46078</v>
      </c>
      <c r="G21" s="10"/>
      <c r="H21" s="4">
        <v>46078</v>
      </c>
      <c r="I21" s="15">
        <v>81</v>
      </c>
      <c r="J21" s="10"/>
      <c r="K21" s="10" t="s">
        <v>72</v>
      </c>
      <c r="L21" s="11">
        <v>33.48</v>
      </c>
    </row>
    <row r="22" spans="1:12">
      <c r="A22" s="10" t="s">
        <v>28</v>
      </c>
      <c r="B22" s="10" t="s">
        <v>101</v>
      </c>
      <c r="C22" s="15">
        <v>1</v>
      </c>
      <c r="D22" s="10" t="s">
        <v>102</v>
      </c>
      <c r="E22" s="15">
        <v>700</v>
      </c>
      <c r="F22" s="4">
        <v>46079</v>
      </c>
      <c r="G22" s="10"/>
      <c r="H22" s="4">
        <v>46080</v>
      </c>
      <c r="I22" s="15">
        <v>80</v>
      </c>
      <c r="J22" s="10"/>
      <c r="K22" s="10" t="s">
        <v>72</v>
      </c>
      <c r="L22" s="11">
        <v>400.52</v>
      </c>
    </row>
    <row r="23" spans="1:12">
      <c r="A23" s="10" t="s">
        <v>27</v>
      </c>
      <c r="B23" s="10" t="s">
        <v>103</v>
      </c>
      <c r="C23" s="15">
        <v>1</v>
      </c>
      <c r="D23" s="10" t="s">
        <v>104</v>
      </c>
      <c r="E23" s="15">
        <v>5300</v>
      </c>
      <c r="F23" s="4">
        <v>46084</v>
      </c>
      <c r="G23" s="10"/>
      <c r="H23" s="4">
        <v>46084</v>
      </c>
      <c r="I23" s="15">
        <v>75</v>
      </c>
      <c r="J23" s="10"/>
      <c r="K23" s="10" t="s">
        <v>72</v>
      </c>
      <c r="L23" s="11">
        <v>14164.5</v>
      </c>
    </row>
    <row r="24" spans="1:12">
      <c r="A24" s="10" t="s">
        <v>27</v>
      </c>
      <c r="B24" s="10" t="s">
        <v>103</v>
      </c>
      <c r="C24" s="15">
        <v>3</v>
      </c>
      <c r="D24" s="10" t="s">
        <v>105</v>
      </c>
      <c r="E24" s="15">
        <v>11800</v>
      </c>
      <c r="F24" s="4">
        <v>46084</v>
      </c>
      <c r="G24" s="10"/>
      <c r="H24" s="4">
        <v>46086</v>
      </c>
      <c r="I24" s="15">
        <v>75</v>
      </c>
      <c r="J24" s="10"/>
      <c r="K24" s="10" t="s">
        <v>72</v>
      </c>
      <c r="L24" s="11">
        <v>84068.32000000001</v>
      </c>
    </row>
    <row r="25" spans="1:12">
      <c r="A25" s="10" t="s">
        <v>27</v>
      </c>
      <c r="B25" s="10" t="s">
        <v>106</v>
      </c>
      <c r="C25" s="15">
        <v>3</v>
      </c>
      <c r="D25" s="10" t="s">
        <v>71</v>
      </c>
      <c r="E25" s="15">
        <v>3200</v>
      </c>
      <c r="F25" s="4">
        <v>46093</v>
      </c>
      <c r="G25" s="10"/>
      <c r="H25" s="4">
        <v>46093</v>
      </c>
      <c r="I25" s="15">
        <v>66</v>
      </c>
      <c r="J25" s="10"/>
      <c r="K25" s="10" t="s">
        <v>72</v>
      </c>
      <c r="L25" s="11">
        <v>66667.5</v>
      </c>
    </row>
    <row r="26" spans="1:12">
      <c r="A26" s="10" t="s">
        <v>27</v>
      </c>
      <c r="B26" s="10" t="s">
        <v>107</v>
      </c>
      <c r="C26" s="15">
        <v>1</v>
      </c>
      <c r="D26" s="10" t="s">
        <v>71</v>
      </c>
      <c r="E26" s="15">
        <v>19700</v>
      </c>
      <c r="F26" s="4">
        <v>46094</v>
      </c>
      <c r="G26" s="10"/>
      <c r="H26" s="10"/>
      <c r="I26" s="15">
        <v>65</v>
      </c>
      <c r="J26" s="10"/>
      <c r="K26" s="10" t="s">
        <v>72</v>
      </c>
      <c r="L26" s="11">
        <v>0</v>
      </c>
    </row>
    <row r="27" spans="1:12">
      <c r="A27" s="10" t="s">
        <v>27</v>
      </c>
      <c r="B27" s="10" t="s">
        <v>107</v>
      </c>
      <c r="C27" s="15">
        <v>2</v>
      </c>
      <c r="D27" s="10" t="s">
        <v>108</v>
      </c>
      <c r="E27" s="15">
        <v>17900</v>
      </c>
      <c r="F27" s="4">
        <v>46094</v>
      </c>
      <c r="G27" s="10"/>
      <c r="H27" s="10"/>
      <c r="I27" s="15">
        <v>65</v>
      </c>
      <c r="J27" s="10"/>
      <c r="K27" s="10" t="s">
        <v>72</v>
      </c>
      <c r="L27" s="11">
        <v>0</v>
      </c>
    </row>
    <row r="28" spans="1:12">
      <c r="A28" s="10" t="s">
        <v>27</v>
      </c>
      <c r="B28" s="10" t="s">
        <v>107</v>
      </c>
      <c r="C28" s="15">
        <v>3</v>
      </c>
      <c r="D28" s="10" t="s">
        <v>105</v>
      </c>
      <c r="E28" s="15">
        <v>17200</v>
      </c>
      <c r="F28" s="4">
        <v>46094</v>
      </c>
      <c r="G28" s="10"/>
      <c r="H28" s="10"/>
      <c r="I28" s="15">
        <v>65</v>
      </c>
      <c r="J28" s="10"/>
      <c r="K28" s="10" t="s">
        <v>72</v>
      </c>
      <c r="L28" s="11">
        <v>0</v>
      </c>
    </row>
    <row r="29" spans="1:12">
      <c r="A29" s="10" t="s">
        <v>31</v>
      </c>
      <c r="B29" s="10" t="s">
        <v>109</v>
      </c>
      <c r="C29" s="15">
        <v>1</v>
      </c>
      <c r="D29" s="10" t="s">
        <v>110</v>
      </c>
      <c r="E29" s="15">
        <v>7950</v>
      </c>
      <c r="F29" s="4">
        <v>46099</v>
      </c>
      <c r="G29" s="10"/>
      <c r="H29" s="4">
        <v>46099</v>
      </c>
      <c r="I29" s="15">
        <v>60</v>
      </c>
      <c r="J29" s="10"/>
      <c r="K29" s="10" t="s">
        <v>72</v>
      </c>
      <c r="L29" s="11">
        <v>790.46</v>
      </c>
    </row>
    <row r="30" spans="1:12">
      <c r="A30" s="10" t="s">
        <v>27</v>
      </c>
      <c r="B30" s="10" t="s">
        <v>111</v>
      </c>
      <c r="C30" s="15">
        <v>1</v>
      </c>
      <c r="D30" s="10" t="s">
        <v>105</v>
      </c>
      <c r="E30" s="15">
        <v>8500</v>
      </c>
      <c r="F30" s="4">
        <v>46107</v>
      </c>
      <c r="G30" s="10"/>
      <c r="H30" s="4">
        <v>46108</v>
      </c>
      <c r="I30" s="15">
        <v>52</v>
      </c>
      <c r="J30" s="10"/>
      <c r="K30" s="10" t="s">
        <v>72</v>
      </c>
      <c r="L30" s="11">
        <v>61057.92</v>
      </c>
    </row>
    <row r="31" spans="1:12">
      <c r="A31" s="10" t="s">
        <v>31</v>
      </c>
      <c r="B31" s="10" t="s">
        <v>112</v>
      </c>
      <c r="C31" s="15">
        <v>1</v>
      </c>
      <c r="D31" s="10" t="s">
        <v>85</v>
      </c>
      <c r="E31" s="15">
        <v>1200</v>
      </c>
      <c r="F31" s="4">
        <v>46112</v>
      </c>
      <c r="G31" s="10"/>
      <c r="H31" s="4">
        <v>46113</v>
      </c>
      <c r="I31" s="15">
        <v>47</v>
      </c>
      <c r="J31" s="10"/>
      <c r="K31" s="10" t="s">
        <v>72</v>
      </c>
      <c r="L31" s="11">
        <v>88.16</v>
      </c>
    </row>
    <row r="32" spans="1:12">
      <c r="A32" s="10" t="s">
        <v>27</v>
      </c>
      <c r="B32" s="10" t="s">
        <v>113</v>
      </c>
      <c r="C32" s="15">
        <v>1</v>
      </c>
      <c r="D32" s="10" t="s">
        <v>105</v>
      </c>
      <c r="E32" s="15">
        <v>21600</v>
      </c>
      <c r="F32" s="4">
        <v>46118</v>
      </c>
      <c r="G32" s="10"/>
      <c r="H32" s="4">
        <v>46118</v>
      </c>
      <c r="I32" s="15">
        <v>41</v>
      </c>
      <c r="J32" s="10"/>
      <c r="K32" s="10" t="s">
        <v>72</v>
      </c>
      <c r="L32" s="11">
        <v>160084.96</v>
      </c>
    </row>
    <row r="33" spans="1:12">
      <c r="A33" s="10" t="s">
        <v>28</v>
      </c>
      <c r="B33" s="10" t="s">
        <v>114</v>
      </c>
      <c r="C33" s="15">
        <v>1</v>
      </c>
      <c r="D33" s="10" t="s">
        <v>87</v>
      </c>
      <c r="E33" s="15">
        <v>2400</v>
      </c>
      <c r="F33" s="4">
        <v>46128</v>
      </c>
      <c r="G33" s="10"/>
      <c r="H33" s="4">
        <v>46128</v>
      </c>
      <c r="I33" s="15">
        <v>31</v>
      </c>
      <c r="J33" s="10"/>
      <c r="K33" s="10" t="s">
        <v>72</v>
      </c>
      <c r="L33" s="11">
        <v>1222.1</v>
      </c>
    </row>
    <row r="34" spans="1:12">
      <c r="A34" s="10" t="s">
        <v>29</v>
      </c>
      <c r="B34" s="10" t="s">
        <v>115</v>
      </c>
      <c r="C34" s="15">
        <v>1</v>
      </c>
      <c r="D34" s="10" t="s">
        <v>76</v>
      </c>
      <c r="E34" s="15">
        <v>1800</v>
      </c>
      <c r="F34" s="4">
        <v>46048</v>
      </c>
      <c r="G34" s="4">
        <v>46076</v>
      </c>
      <c r="H34" s="4">
        <v>46057</v>
      </c>
      <c r="I34" s="15">
        <v>28</v>
      </c>
      <c r="J34" s="15">
        <v>19</v>
      </c>
      <c r="K34" s="10" t="s">
        <v>116</v>
      </c>
      <c r="L34" s="11">
        <v>4320</v>
      </c>
    </row>
    <row r="35" spans="1:12">
      <c r="A35" s="10" t="s">
        <v>29</v>
      </c>
      <c r="B35" s="10" t="s">
        <v>117</v>
      </c>
      <c r="C35" s="15">
        <v>2</v>
      </c>
      <c r="D35" s="10" t="s">
        <v>76</v>
      </c>
      <c r="E35" s="15">
        <v>5800</v>
      </c>
      <c r="F35" s="4">
        <v>46129</v>
      </c>
      <c r="G35" s="4">
        <v>46156</v>
      </c>
      <c r="H35" s="4">
        <v>46139</v>
      </c>
      <c r="I35" s="15">
        <v>27</v>
      </c>
      <c r="J35" s="15">
        <v>17</v>
      </c>
      <c r="K35" s="10" t="s">
        <v>116</v>
      </c>
      <c r="L35" s="11">
        <v>13920</v>
      </c>
    </row>
    <row r="36" spans="1:12">
      <c r="A36" s="10" t="s">
        <v>29</v>
      </c>
      <c r="B36" s="10" t="s">
        <v>118</v>
      </c>
      <c r="C36" s="15">
        <v>1</v>
      </c>
      <c r="D36" s="10" t="s">
        <v>119</v>
      </c>
      <c r="E36" s="15">
        <v>3400</v>
      </c>
      <c r="F36" s="4">
        <v>46031</v>
      </c>
      <c r="G36" s="4">
        <v>46058</v>
      </c>
      <c r="H36" s="4">
        <v>46032</v>
      </c>
      <c r="I36" s="15">
        <v>27</v>
      </c>
      <c r="J36" s="15">
        <v>26</v>
      </c>
      <c r="K36" s="10" t="s">
        <v>116</v>
      </c>
      <c r="L36" s="11">
        <v>5440</v>
      </c>
    </row>
    <row r="37" spans="1:12">
      <c r="A37" s="10" t="s">
        <v>29</v>
      </c>
      <c r="B37" s="10" t="s">
        <v>120</v>
      </c>
      <c r="C37" s="15">
        <v>2</v>
      </c>
      <c r="D37" s="10" t="s">
        <v>119</v>
      </c>
      <c r="E37" s="15">
        <v>1100</v>
      </c>
      <c r="F37" s="4">
        <v>45999</v>
      </c>
      <c r="G37" s="4">
        <v>46026</v>
      </c>
      <c r="H37" s="4">
        <v>46006</v>
      </c>
      <c r="I37" s="15">
        <v>27</v>
      </c>
      <c r="J37" s="15">
        <v>20</v>
      </c>
      <c r="K37" s="10" t="s">
        <v>116</v>
      </c>
      <c r="L37" s="11">
        <v>1760</v>
      </c>
    </row>
    <row r="38" spans="1:12">
      <c r="A38" s="10" t="s">
        <v>29</v>
      </c>
      <c r="B38" s="10" t="s">
        <v>121</v>
      </c>
      <c r="C38" s="15">
        <v>2</v>
      </c>
      <c r="D38" s="10" t="s">
        <v>89</v>
      </c>
      <c r="E38" s="15">
        <v>8850</v>
      </c>
      <c r="F38" s="4">
        <v>45917</v>
      </c>
      <c r="G38" s="4">
        <v>45944</v>
      </c>
      <c r="H38" s="4">
        <v>45920</v>
      </c>
      <c r="I38" s="15">
        <v>27</v>
      </c>
      <c r="J38" s="15">
        <v>24</v>
      </c>
      <c r="K38" s="10" t="s">
        <v>116</v>
      </c>
      <c r="L38" s="11">
        <v>27435</v>
      </c>
    </row>
    <row r="39" spans="1:12">
      <c r="A39" s="10" t="s">
        <v>29</v>
      </c>
      <c r="B39" s="10" t="s">
        <v>122</v>
      </c>
      <c r="C39" s="15">
        <v>1</v>
      </c>
      <c r="D39" s="10" t="s">
        <v>119</v>
      </c>
      <c r="E39" s="15">
        <v>5250</v>
      </c>
      <c r="F39" s="4">
        <v>46111</v>
      </c>
      <c r="G39" s="4">
        <v>46137</v>
      </c>
      <c r="H39" s="4">
        <v>46120</v>
      </c>
      <c r="I39" s="15">
        <v>26</v>
      </c>
      <c r="J39" s="15">
        <v>17</v>
      </c>
      <c r="K39" s="10" t="s">
        <v>116</v>
      </c>
      <c r="L39" s="11">
        <v>8400</v>
      </c>
    </row>
    <row r="40" spans="1:12">
      <c r="A40" s="10" t="s">
        <v>29</v>
      </c>
      <c r="B40" s="10" t="s">
        <v>123</v>
      </c>
      <c r="C40" s="15">
        <v>1</v>
      </c>
      <c r="D40" s="10" t="s">
        <v>89</v>
      </c>
      <c r="E40" s="15">
        <v>4750</v>
      </c>
      <c r="F40" s="4">
        <v>45953</v>
      </c>
      <c r="G40" s="4">
        <v>45979</v>
      </c>
      <c r="H40" s="4">
        <v>45957</v>
      </c>
      <c r="I40" s="15">
        <v>26</v>
      </c>
      <c r="J40" s="15">
        <v>22</v>
      </c>
      <c r="K40" s="10" t="s">
        <v>116</v>
      </c>
      <c r="L40" s="11">
        <v>14725</v>
      </c>
    </row>
    <row r="41" spans="1:12">
      <c r="A41" s="10" t="s">
        <v>29</v>
      </c>
      <c r="B41" s="10" t="s">
        <v>124</v>
      </c>
      <c r="C41" s="15">
        <v>2</v>
      </c>
      <c r="D41" s="10" t="s">
        <v>76</v>
      </c>
      <c r="E41" s="15">
        <v>7600</v>
      </c>
      <c r="F41" s="4">
        <v>46048</v>
      </c>
      <c r="G41" s="4">
        <v>46074</v>
      </c>
      <c r="H41" s="4">
        <v>46061</v>
      </c>
      <c r="I41" s="15">
        <v>26</v>
      </c>
      <c r="J41" s="15">
        <v>13</v>
      </c>
      <c r="K41" s="10" t="s">
        <v>116</v>
      </c>
      <c r="L41" s="11">
        <v>18240</v>
      </c>
    </row>
    <row r="42" spans="1:12">
      <c r="A42" s="10" t="s">
        <v>29</v>
      </c>
      <c r="B42" s="10" t="s">
        <v>125</v>
      </c>
      <c r="C42" s="15">
        <v>3</v>
      </c>
      <c r="D42" s="10" t="s">
        <v>119</v>
      </c>
      <c r="E42" s="15">
        <v>2350</v>
      </c>
      <c r="F42" s="4">
        <v>46094</v>
      </c>
      <c r="G42" s="4">
        <v>46120</v>
      </c>
      <c r="H42" s="4">
        <v>46104</v>
      </c>
      <c r="I42" s="15">
        <v>26</v>
      </c>
      <c r="J42" s="15">
        <v>16</v>
      </c>
      <c r="K42" s="10" t="s">
        <v>116</v>
      </c>
      <c r="L42" s="11">
        <v>3760</v>
      </c>
    </row>
    <row r="43" spans="1:12">
      <c r="A43" s="10" t="s">
        <v>29</v>
      </c>
      <c r="B43" s="10" t="s">
        <v>126</v>
      </c>
      <c r="C43" s="15">
        <v>2</v>
      </c>
      <c r="D43" s="10" t="s">
        <v>119</v>
      </c>
      <c r="E43" s="15">
        <v>7400</v>
      </c>
      <c r="F43" s="4">
        <v>45992</v>
      </c>
      <c r="G43" s="4">
        <v>46017</v>
      </c>
      <c r="H43" s="4">
        <v>46004</v>
      </c>
      <c r="I43" s="15">
        <v>25</v>
      </c>
      <c r="J43" s="15">
        <v>13</v>
      </c>
      <c r="K43" s="10" t="s">
        <v>116</v>
      </c>
      <c r="L43" s="11">
        <v>11840</v>
      </c>
    </row>
    <row r="44" spans="1:12">
      <c r="A44" s="10" t="s">
        <v>29</v>
      </c>
      <c r="B44" s="10" t="s">
        <v>127</v>
      </c>
      <c r="C44" s="15">
        <v>2</v>
      </c>
      <c r="D44" s="10" t="s">
        <v>76</v>
      </c>
      <c r="E44" s="15">
        <v>4550</v>
      </c>
      <c r="F44" s="4">
        <v>46134</v>
      </c>
      <c r="G44" s="4">
        <v>46159</v>
      </c>
      <c r="H44" s="4">
        <v>46141</v>
      </c>
      <c r="I44" s="15">
        <v>25</v>
      </c>
      <c r="J44" s="15">
        <v>18</v>
      </c>
      <c r="K44" s="10" t="s">
        <v>116</v>
      </c>
      <c r="L44" s="11">
        <v>10920</v>
      </c>
    </row>
    <row r="45" spans="1:12">
      <c r="A45" s="10" t="s">
        <v>29</v>
      </c>
      <c r="B45" s="10" t="s">
        <v>128</v>
      </c>
      <c r="C45" s="15">
        <v>1</v>
      </c>
      <c r="D45" s="10" t="s">
        <v>119</v>
      </c>
      <c r="E45" s="15">
        <v>1500</v>
      </c>
      <c r="F45" s="4">
        <v>46036</v>
      </c>
      <c r="G45" s="4">
        <v>46061</v>
      </c>
      <c r="H45" s="4">
        <v>46047</v>
      </c>
      <c r="I45" s="15">
        <v>25</v>
      </c>
      <c r="J45" s="15">
        <v>14</v>
      </c>
      <c r="K45" s="10" t="s">
        <v>116</v>
      </c>
      <c r="L45" s="11">
        <v>2400</v>
      </c>
    </row>
    <row r="46" spans="1:12">
      <c r="A46" s="10" t="s">
        <v>29</v>
      </c>
      <c r="B46" s="10" t="s">
        <v>129</v>
      </c>
      <c r="C46" s="15">
        <v>2</v>
      </c>
      <c r="D46" s="10" t="s">
        <v>119</v>
      </c>
      <c r="E46" s="15">
        <v>7700</v>
      </c>
      <c r="F46" s="4">
        <v>45953</v>
      </c>
      <c r="G46" s="4">
        <v>45978</v>
      </c>
      <c r="H46" s="4">
        <v>45961</v>
      </c>
      <c r="I46" s="15">
        <v>25</v>
      </c>
      <c r="J46" s="15">
        <v>17</v>
      </c>
      <c r="K46" s="10" t="s">
        <v>116</v>
      </c>
      <c r="L46" s="11">
        <v>12320</v>
      </c>
    </row>
    <row r="47" spans="1:12">
      <c r="A47" s="10" t="s">
        <v>29</v>
      </c>
      <c r="B47" s="10" t="s">
        <v>130</v>
      </c>
      <c r="C47" s="15">
        <v>1</v>
      </c>
      <c r="D47" s="10" t="s">
        <v>76</v>
      </c>
      <c r="E47" s="15">
        <v>9850</v>
      </c>
      <c r="F47" s="4">
        <v>45975</v>
      </c>
      <c r="G47" s="4">
        <v>45999</v>
      </c>
      <c r="H47" s="4">
        <v>45975</v>
      </c>
      <c r="I47" s="15">
        <v>24</v>
      </c>
      <c r="J47" s="15">
        <v>24</v>
      </c>
      <c r="K47" s="10" t="s">
        <v>116</v>
      </c>
      <c r="L47" s="11">
        <v>23640</v>
      </c>
    </row>
    <row r="48" spans="1:12">
      <c r="A48" s="10" t="s">
        <v>29</v>
      </c>
      <c r="B48" s="10" t="s">
        <v>131</v>
      </c>
      <c r="C48" s="15">
        <v>1</v>
      </c>
      <c r="D48" s="10" t="s">
        <v>76</v>
      </c>
      <c r="E48" s="15">
        <v>5700</v>
      </c>
      <c r="F48" s="4">
        <v>46006</v>
      </c>
      <c r="G48" s="4">
        <v>46030</v>
      </c>
      <c r="H48" s="4">
        <v>46017</v>
      </c>
      <c r="I48" s="15">
        <v>24</v>
      </c>
      <c r="J48" s="15">
        <v>13</v>
      </c>
      <c r="K48" s="10" t="s">
        <v>116</v>
      </c>
      <c r="L48" s="11">
        <v>13680</v>
      </c>
    </row>
    <row r="49" spans="1:12">
      <c r="A49" s="10" t="s">
        <v>29</v>
      </c>
      <c r="B49" s="10" t="s">
        <v>132</v>
      </c>
      <c r="C49" s="15">
        <v>1</v>
      </c>
      <c r="D49" s="10" t="s">
        <v>89</v>
      </c>
      <c r="E49" s="15">
        <v>4850</v>
      </c>
      <c r="F49" s="4">
        <v>46020</v>
      </c>
      <c r="G49" s="4">
        <v>46044</v>
      </c>
      <c r="H49" s="4">
        <v>46030</v>
      </c>
      <c r="I49" s="15">
        <v>24</v>
      </c>
      <c r="J49" s="15">
        <v>14</v>
      </c>
      <c r="K49" s="10" t="s">
        <v>116</v>
      </c>
      <c r="L49" s="11">
        <v>15035</v>
      </c>
    </row>
    <row r="50" spans="1:12">
      <c r="A50" s="10" t="s">
        <v>29</v>
      </c>
      <c r="B50" s="10" t="s">
        <v>133</v>
      </c>
      <c r="C50" s="15">
        <v>1</v>
      </c>
      <c r="D50" s="10" t="s">
        <v>76</v>
      </c>
      <c r="E50" s="15">
        <v>1500</v>
      </c>
      <c r="F50" s="4">
        <v>46035</v>
      </c>
      <c r="G50" s="4">
        <v>46059</v>
      </c>
      <c r="H50" s="4">
        <v>46038</v>
      </c>
      <c r="I50" s="15">
        <v>24</v>
      </c>
      <c r="J50" s="15">
        <v>21</v>
      </c>
      <c r="K50" s="10" t="s">
        <v>116</v>
      </c>
      <c r="L50" s="11">
        <v>3600</v>
      </c>
    </row>
    <row r="51" spans="1:12">
      <c r="A51" s="10" t="s">
        <v>29</v>
      </c>
      <c r="B51" s="10" t="s">
        <v>134</v>
      </c>
      <c r="C51" s="15">
        <v>1</v>
      </c>
      <c r="D51" s="10" t="s">
        <v>89</v>
      </c>
      <c r="E51" s="15">
        <v>3150</v>
      </c>
      <c r="F51" s="4">
        <v>45980</v>
      </c>
      <c r="G51" s="4">
        <v>46004</v>
      </c>
      <c r="H51" s="4">
        <v>45988</v>
      </c>
      <c r="I51" s="15">
        <v>24</v>
      </c>
      <c r="J51" s="15">
        <v>16</v>
      </c>
      <c r="K51" s="10" t="s">
        <v>116</v>
      </c>
      <c r="L51" s="11">
        <v>9765</v>
      </c>
    </row>
    <row r="52" spans="1:12">
      <c r="A52" s="10" t="s">
        <v>27</v>
      </c>
      <c r="B52" s="10" t="s">
        <v>135</v>
      </c>
      <c r="C52" s="15">
        <v>1</v>
      </c>
      <c r="D52" s="10" t="s">
        <v>136</v>
      </c>
      <c r="E52" s="15">
        <v>20100</v>
      </c>
      <c r="F52" s="4">
        <v>46136</v>
      </c>
      <c r="G52" s="10"/>
      <c r="H52" s="4">
        <v>46137</v>
      </c>
      <c r="I52" s="15">
        <v>23</v>
      </c>
      <c r="J52" s="10"/>
      <c r="K52" s="10" t="s">
        <v>72</v>
      </c>
      <c r="L52" s="11">
        <v>70928.48</v>
      </c>
    </row>
    <row r="53" spans="1:12">
      <c r="A53" s="10" t="s">
        <v>29</v>
      </c>
      <c r="B53" s="10" t="s">
        <v>137</v>
      </c>
      <c r="C53" s="15">
        <v>2</v>
      </c>
      <c r="D53" s="10" t="s">
        <v>89</v>
      </c>
      <c r="E53" s="15">
        <v>7550</v>
      </c>
      <c r="F53" s="4">
        <v>46113</v>
      </c>
      <c r="G53" s="4">
        <v>46136</v>
      </c>
      <c r="H53" s="4">
        <v>46128</v>
      </c>
      <c r="I53" s="15">
        <v>23</v>
      </c>
      <c r="J53" s="15">
        <v>8</v>
      </c>
      <c r="K53" s="10" t="s">
        <v>116</v>
      </c>
      <c r="L53" s="11">
        <v>23405</v>
      </c>
    </row>
    <row r="54" spans="1:12">
      <c r="A54" s="10" t="s">
        <v>29</v>
      </c>
      <c r="B54" s="10" t="s">
        <v>138</v>
      </c>
      <c r="C54" s="15">
        <v>1</v>
      </c>
      <c r="D54" s="10" t="s">
        <v>119</v>
      </c>
      <c r="E54" s="15">
        <v>2150</v>
      </c>
      <c r="F54" s="4">
        <v>45926</v>
      </c>
      <c r="G54" s="4">
        <v>45949</v>
      </c>
      <c r="H54" s="4">
        <v>45934</v>
      </c>
      <c r="I54" s="15">
        <v>23</v>
      </c>
      <c r="J54" s="15">
        <v>15</v>
      </c>
      <c r="K54" s="10" t="s">
        <v>116</v>
      </c>
      <c r="L54" s="11">
        <v>3440</v>
      </c>
    </row>
    <row r="55" spans="1:12">
      <c r="A55" s="10" t="s">
        <v>29</v>
      </c>
      <c r="B55" s="10" t="s">
        <v>139</v>
      </c>
      <c r="C55" s="15">
        <v>1</v>
      </c>
      <c r="D55" s="10" t="s">
        <v>76</v>
      </c>
      <c r="E55" s="15">
        <v>1800</v>
      </c>
      <c r="F55" s="4">
        <v>46058</v>
      </c>
      <c r="G55" s="4">
        <v>46081</v>
      </c>
      <c r="H55" s="10"/>
      <c r="I55" s="15">
        <v>23</v>
      </c>
      <c r="J55" s="10"/>
      <c r="K55" s="10" t="s">
        <v>116</v>
      </c>
      <c r="L55" s="11">
        <v>4320</v>
      </c>
    </row>
    <row r="56" spans="1:12">
      <c r="A56" s="10" t="s">
        <v>32</v>
      </c>
      <c r="B56" s="10" t="s">
        <v>140</v>
      </c>
      <c r="C56" s="15">
        <v>1</v>
      </c>
      <c r="D56" s="10" t="s">
        <v>83</v>
      </c>
      <c r="E56" s="15">
        <v>1760</v>
      </c>
      <c r="F56" s="4">
        <v>46136</v>
      </c>
      <c r="G56" s="10"/>
      <c r="H56" s="10"/>
      <c r="I56" s="15">
        <v>23</v>
      </c>
      <c r="J56" s="10"/>
      <c r="K56" s="10" t="s">
        <v>72</v>
      </c>
      <c r="L56" s="11">
        <v>100.5</v>
      </c>
    </row>
    <row r="57" spans="1:12">
      <c r="A57" s="10" t="s">
        <v>29</v>
      </c>
      <c r="B57" s="10" t="s">
        <v>141</v>
      </c>
      <c r="C57" s="15">
        <v>1</v>
      </c>
      <c r="D57" s="10" t="s">
        <v>89</v>
      </c>
      <c r="E57" s="15">
        <v>5600</v>
      </c>
      <c r="F57" s="4">
        <v>46071</v>
      </c>
      <c r="G57" s="4">
        <v>46093</v>
      </c>
      <c r="H57" s="4">
        <v>46073</v>
      </c>
      <c r="I57" s="15">
        <v>22</v>
      </c>
      <c r="J57" s="15">
        <v>20</v>
      </c>
      <c r="K57" s="10" t="s">
        <v>116</v>
      </c>
      <c r="L57" s="11">
        <v>17360</v>
      </c>
    </row>
    <row r="58" spans="1:12">
      <c r="A58" s="10" t="s">
        <v>29</v>
      </c>
      <c r="B58" s="10" t="s">
        <v>142</v>
      </c>
      <c r="C58" s="15">
        <v>2</v>
      </c>
      <c r="D58" s="10" t="s">
        <v>76</v>
      </c>
      <c r="E58" s="15">
        <v>8550</v>
      </c>
      <c r="F58" s="4">
        <v>46099</v>
      </c>
      <c r="G58" s="4">
        <v>46121</v>
      </c>
      <c r="H58" s="4">
        <v>46111</v>
      </c>
      <c r="I58" s="15">
        <v>22</v>
      </c>
      <c r="J58" s="15">
        <v>10</v>
      </c>
      <c r="K58" s="10" t="s">
        <v>116</v>
      </c>
      <c r="L58" s="11">
        <v>20520</v>
      </c>
    </row>
    <row r="59" spans="1:12">
      <c r="A59" s="10" t="s">
        <v>29</v>
      </c>
      <c r="B59" s="10" t="s">
        <v>143</v>
      </c>
      <c r="C59" s="15">
        <v>1</v>
      </c>
      <c r="D59" s="10" t="s">
        <v>76</v>
      </c>
      <c r="E59" s="15">
        <v>7100</v>
      </c>
      <c r="F59" s="4">
        <v>45975</v>
      </c>
      <c r="G59" s="4">
        <v>45997</v>
      </c>
      <c r="H59" s="4">
        <v>45989</v>
      </c>
      <c r="I59" s="15">
        <v>22</v>
      </c>
      <c r="J59" s="15">
        <v>8</v>
      </c>
      <c r="K59" s="10" t="s">
        <v>116</v>
      </c>
      <c r="L59" s="11">
        <v>17040</v>
      </c>
    </row>
    <row r="60" spans="1:12">
      <c r="A60" s="10" t="s">
        <v>29</v>
      </c>
      <c r="B60" s="10" t="s">
        <v>144</v>
      </c>
      <c r="C60" s="15">
        <v>1</v>
      </c>
      <c r="D60" s="10" t="s">
        <v>76</v>
      </c>
      <c r="E60" s="15">
        <v>5300</v>
      </c>
      <c r="F60" s="4">
        <v>46071</v>
      </c>
      <c r="G60" s="4">
        <v>46092</v>
      </c>
      <c r="H60" s="4">
        <v>46077</v>
      </c>
      <c r="I60" s="15">
        <v>21</v>
      </c>
      <c r="J60" s="15">
        <v>15</v>
      </c>
      <c r="K60" s="10" t="s">
        <v>116</v>
      </c>
      <c r="L60" s="11">
        <v>12720</v>
      </c>
    </row>
    <row r="61" spans="1:12">
      <c r="A61" s="10" t="s">
        <v>29</v>
      </c>
      <c r="B61" s="10" t="s">
        <v>129</v>
      </c>
      <c r="C61" s="15">
        <v>1</v>
      </c>
      <c r="D61" s="10" t="s">
        <v>89</v>
      </c>
      <c r="E61" s="15">
        <v>3100</v>
      </c>
      <c r="F61" s="4">
        <v>45953</v>
      </c>
      <c r="G61" s="4">
        <v>45974</v>
      </c>
      <c r="H61" s="4">
        <v>45958</v>
      </c>
      <c r="I61" s="15">
        <v>21</v>
      </c>
      <c r="J61" s="15">
        <v>16</v>
      </c>
      <c r="K61" s="10" t="s">
        <v>116</v>
      </c>
      <c r="L61" s="11">
        <v>9610</v>
      </c>
    </row>
    <row r="62" spans="1:12">
      <c r="A62" s="10" t="s">
        <v>29</v>
      </c>
      <c r="B62" s="10" t="s">
        <v>145</v>
      </c>
      <c r="C62" s="15">
        <v>1</v>
      </c>
      <c r="D62" s="10" t="s">
        <v>89</v>
      </c>
      <c r="E62" s="15">
        <v>5500</v>
      </c>
      <c r="F62" s="4">
        <v>45981</v>
      </c>
      <c r="G62" s="4">
        <v>46002</v>
      </c>
      <c r="H62" s="4">
        <v>45987</v>
      </c>
      <c r="I62" s="15">
        <v>21</v>
      </c>
      <c r="J62" s="15">
        <v>15</v>
      </c>
      <c r="K62" s="10" t="s">
        <v>116</v>
      </c>
      <c r="L62" s="11">
        <v>17050</v>
      </c>
    </row>
    <row r="63" spans="1:12">
      <c r="A63" s="10" t="s">
        <v>29</v>
      </c>
      <c r="B63" s="10" t="s">
        <v>146</v>
      </c>
      <c r="C63" s="15">
        <v>1</v>
      </c>
      <c r="D63" s="10" t="s">
        <v>89</v>
      </c>
      <c r="E63" s="15">
        <v>2100</v>
      </c>
      <c r="F63" s="4">
        <v>46049</v>
      </c>
      <c r="G63" s="4">
        <v>46069</v>
      </c>
      <c r="H63" s="10"/>
      <c r="I63" s="15">
        <v>20</v>
      </c>
      <c r="J63" s="10"/>
      <c r="K63" s="10" t="s">
        <v>116</v>
      </c>
      <c r="L63" s="11">
        <v>6510</v>
      </c>
    </row>
    <row r="64" spans="1:12">
      <c r="A64" s="10" t="s">
        <v>29</v>
      </c>
      <c r="B64" s="10" t="s">
        <v>147</v>
      </c>
      <c r="C64" s="15">
        <v>2</v>
      </c>
      <c r="D64" s="10" t="s">
        <v>76</v>
      </c>
      <c r="E64" s="15">
        <v>500</v>
      </c>
      <c r="F64" s="4">
        <v>46072</v>
      </c>
      <c r="G64" s="4">
        <v>46092</v>
      </c>
      <c r="H64" s="4">
        <v>46078</v>
      </c>
      <c r="I64" s="15">
        <v>20</v>
      </c>
      <c r="J64" s="15">
        <v>14</v>
      </c>
      <c r="K64" s="10" t="s">
        <v>116</v>
      </c>
      <c r="L64" s="11">
        <v>1200</v>
      </c>
    </row>
    <row r="65" spans="1:12">
      <c r="A65" s="10" t="s">
        <v>29</v>
      </c>
      <c r="B65" s="10" t="s">
        <v>148</v>
      </c>
      <c r="C65" s="15">
        <v>1</v>
      </c>
      <c r="D65" s="10" t="s">
        <v>76</v>
      </c>
      <c r="E65" s="15">
        <v>2300</v>
      </c>
      <c r="F65" s="4">
        <v>45985</v>
      </c>
      <c r="G65" s="4">
        <v>46005</v>
      </c>
      <c r="H65" s="10"/>
      <c r="I65" s="15">
        <v>20</v>
      </c>
      <c r="J65" s="10"/>
      <c r="K65" s="10" t="s">
        <v>116</v>
      </c>
      <c r="L65" s="11">
        <v>5520</v>
      </c>
    </row>
    <row r="66" spans="1:12">
      <c r="A66" s="10" t="s">
        <v>29</v>
      </c>
      <c r="B66" s="10" t="s">
        <v>143</v>
      </c>
      <c r="C66" s="15">
        <v>2</v>
      </c>
      <c r="D66" s="10" t="s">
        <v>119</v>
      </c>
      <c r="E66" s="15">
        <v>4650</v>
      </c>
      <c r="F66" s="4">
        <v>45975</v>
      </c>
      <c r="G66" s="4">
        <v>45995</v>
      </c>
      <c r="H66" s="4">
        <v>45978</v>
      </c>
      <c r="I66" s="15">
        <v>20</v>
      </c>
      <c r="J66" s="15">
        <v>17</v>
      </c>
      <c r="K66" s="10" t="s">
        <v>116</v>
      </c>
      <c r="L66" s="11">
        <v>7440</v>
      </c>
    </row>
    <row r="67" spans="1:12">
      <c r="A67" s="10" t="s">
        <v>29</v>
      </c>
      <c r="B67" s="10" t="s">
        <v>149</v>
      </c>
      <c r="C67" s="15">
        <v>1</v>
      </c>
      <c r="D67" s="10" t="s">
        <v>76</v>
      </c>
      <c r="E67" s="15">
        <v>3350</v>
      </c>
      <c r="F67" s="4">
        <v>46022</v>
      </c>
      <c r="G67" s="4">
        <v>46042</v>
      </c>
      <c r="H67" s="4">
        <v>46037</v>
      </c>
      <c r="I67" s="15">
        <v>20</v>
      </c>
      <c r="J67" s="15">
        <v>5</v>
      </c>
      <c r="K67" s="10" t="s">
        <v>116</v>
      </c>
      <c r="L67" s="11">
        <v>8040</v>
      </c>
    </row>
    <row r="68" spans="1:12">
      <c r="A68" s="10" t="s">
        <v>29</v>
      </c>
      <c r="B68" s="10" t="s">
        <v>125</v>
      </c>
      <c r="C68" s="15">
        <v>2</v>
      </c>
      <c r="D68" s="10" t="s">
        <v>89</v>
      </c>
      <c r="E68" s="15">
        <v>5200</v>
      </c>
      <c r="F68" s="4">
        <v>46094</v>
      </c>
      <c r="G68" s="4">
        <v>46114</v>
      </c>
      <c r="H68" s="4">
        <v>46116</v>
      </c>
      <c r="I68" s="15">
        <v>20</v>
      </c>
      <c r="J68" s="15">
        <v>-2</v>
      </c>
      <c r="K68" s="10" t="s">
        <v>116</v>
      </c>
      <c r="L68" s="11">
        <v>16120</v>
      </c>
    </row>
    <row r="69" spans="1:12">
      <c r="A69" s="10" t="s">
        <v>29</v>
      </c>
      <c r="B69" s="10" t="s">
        <v>150</v>
      </c>
      <c r="C69" s="15">
        <v>1</v>
      </c>
      <c r="D69" s="10" t="s">
        <v>89</v>
      </c>
      <c r="E69" s="15">
        <v>2850</v>
      </c>
      <c r="F69" s="4">
        <v>46108</v>
      </c>
      <c r="G69" s="4">
        <v>46128</v>
      </c>
      <c r="H69" s="4">
        <v>46110</v>
      </c>
      <c r="I69" s="15">
        <v>20</v>
      </c>
      <c r="J69" s="15">
        <v>18</v>
      </c>
      <c r="K69" s="10" t="s">
        <v>116</v>
      </c>
      <c r="L69" s="11">
        <v>8835</v>
      </c>
    </row>
    <row r="70" spans="1:12">
      <c r="A70" s="10" t="s">
        <v>28</v>
      </c>
      <c r="B70" s="10" t="s">
        <v>151</v>
      </c>
      <c r="C70" s="15">
        <v>1</v>
      </c>
      <c r="D70" s="10" t="s">
        <v>87</v>
      </c>
      <c r="E70" s="15">
        <v>14900</v>
      </c>
      <c r="F70" s="4">
        <v>46140</v>
      </c>
      <c r="G70" s="10"/>
      <c r="H70" s="4">
        <v>46143</v>
      </c>
      <c r="I70" s="15">
        <v>19</v>
      </c>
      <c r="J70" s="10"/>
      <c r="K70" s="10" t="s">
        <v>72</v>
      </c>
      <c r="L70" s="11">
        <v>7914.5</v>
      </c>
    </row>
    <row r="71" spans="1:12">
      <c r="A71" s="10" t="s">
        <v>29</v>
      </c>
      <c r="B71" s="10" t="s">
        <v>152</v>
      </c>
      <c r="C71" s="15">
        <v>1</v>
      </c>
      <c r="D71" s="10" t="s">
        <v>119</v>
      </c>
      <c r="E71" s="15">
        <v>6650</v>
      </c>
      <c r="F71" s="4">
        <v>46140</v>
      </c>
      <c r="G71" s="4">
        <v>46158</v>
      </c>
      <c r="H71" s="10"/>
      <c r="I71" s="15">
        <v>18</v>
      </c>
      <c r="J71" s="10"/>
      <c r="K71" s="10" t="s">
        <v>116</v>
      </c>
      <c r="L71" s="11">
        <v>10640</v>
      </c>
    </row>
    <row r="72" spans="1:12">
      <c r="A72" s="10" t="s">
        <v>29</v>
      </c>
      <c r="B72" s="10" t="s">
        <v>153</v>
      </c>
      <c r="C72" s="15">
        <v>1</v>
      </c>
      <c r="D72" s="10" t="s">
        <v>89</v>
      </c>
      <c r="E72" s="15">
        <v>3050</v>
      </c>
      <c r="F72" s="4">
        <v>45947</v>
      </c>
      <c r="G72" s="4">
        <v>45965</v>
      </c>
      <c r="H72" s="4">
        <v>45952</v>
      </c>
      <c r="I72" s="15">
        <v>18</v>
      </c>
      <c r="J72" s="15">
        <v>13</v>
      </c>
      <c r="K72" s="10" t="s">
        <v>116</v>
      </c>
      <c r="L72" s="11">
        <v>9455</v>
      </c>
    </row>
    <row r="73" spans="1:12">
      <c r="A73" s="10" t="s">
        <v>29</v>
      </c>
      <c r="B73" s="10" t="s">
        <v>154</v>
      </c>
      <c r="C73" s="15">
        <v>1</v>
      </c>
      <c r="D73" s="10" t="s">
        <v>89</v>
      </c>
      <c r="E73" s="15">
        <v>7050</v>
      </c>
      <c r="F73" s="4">
        <v>45930</v>
      </c>
      <c r="G73" s="4">
        <v>45948</v>
      </c>
      <c r="H73" s="4">
        <v>45936</v>
      </c>
      <c r="I73" s="15">
        <v>18</v>
      </c>
      <c r="J73" s="15">
        <v>12</v>
      </c>
      <c r="K73" s="10" t="s">
        <v>116</v>
      </c>
      <c r="L73" s="11">
        <v>21855</v>
      </c>
    </row>
    <row r="74" spans="1:12">
      <c r="A74" s="10" t="s">
        <v>29</v>
      </c>
      <c r="B74" s="10" t="s">
        <v>155</v>
      </c>
      <c r="C74" s="15">
        <v>1</v>
      </c>
      <c r="D74" s="10" t="s">
        <v>89</v>
      </c>
      <c r="E74" s="15">
        <v>4300</v>
      </c>
      <c r="F74" s="4">
        <v>46142</v>
      </c>
      <c r="G74" s="4">
        <v>46159</v>
      </c>
      <c r="H74" s="10"/>
      <c r="I74" s="15">
        <v>17</v>
      </c>
      <c r="J74" s="10"/>
      <c r="K74" s="10" t="s">
        <v>116</v>
      </c>
      <c r="L74" s="11">
        <v>13330</v>
      </c>
    </row>
    <row r="75" spans="1:12">
      <c r="A75" s="10" t="s">
        <v>29</v>
      </c>
      <c r="B75" s="10" t="s">
        <v>156</v>
      </c>
      <c r="C75" s="15">
        <v>1</v>
      </c>
      <c r="D75" s="10" t="s">
        <v>76</v>
      </c>
      <c r="E75" s="15">
        <v>2150</v>
      </c>
      <c r="F75" s="4">
        <v>45959</v>
      </c>
      <c r="G75" s="4">
        <v>45976</v>
      </c>
      <c r="H75" s="4">
        <v>45975</v>
      </c>
      <c r="I75" s="15">
        <v>17</v>
      </c>
      <c r="J75" s="15">
        <v>1</v>
      </c>
      <c r="K75" s="10" t="s">
        <v>116</v>
      </c>
      <c r="L75" s="11">
        <v>5160</v>
      </c>
    </row>
    <row r="76" spans="1:12">
      <c r="A76" s="10" t="s">
        <v>31</v>
      </c>
      <c r="B76" s="10" t="s">
        <v>157</v>
      </c>
      <c r="C76" s="15">
        <v>1</v>
      </c>
      <c r="D76" s="10" t="s">
        <v>81</v>
      </c>
      <c r="E76" s="15">
        <v>6950</v>
      </c>
      <c r="F76" s="4">
        <v>46142</v>
      </c>
      <c r="G76" s="10"/>
      <c r="H76" s="10"/>
      <c r="I76" s="15">
        <v>17</v>
      </c>
      <c r="J76" s="10"/>
      <c r="K76" s="10" t="s">
        <v>72</v>
      </c>
      <c r="L76" s="11">
        <v>923.3</v>
      </c>
    </row>
    <row r="77" spans="1:12">
      <c r="A77" s="10" t="s">
        <v>29</v>
      </c>
      <c r="B77" s="10" t="s">
        <v>158</v>
      </c>
      <c r="C77" s="15">
        <v>1</v>
      </c>
      <c r="D77" s="10" t="s">
        <v>119</v>
      </c>
      <c r="E77" s="15">
        <v>6900</v>
      </c>
      <c r="F77" s="4">
        <v>46085</v>
      </c>
      <c r="G77" s="4">
        <v>46101</v>
      </c>
      <c r="H77" s="4">
        <v>46097</v>
      </c>
      <c r="I77" s="15">
        <v>16</v>
      </c>
      <c r="J77" s="15">
        <v>4</v>
      </c>
      <c r="K77" s="10" t="s">
        <v>116</v>
      </c>
      <c r="L77" s="11">
        <v>11040</v>
      </c>
    </row>
    <row r="78" spans="1:12">
      <c r="A78" s="10" t="s">
        <v>29</v>
      </c>
      <c r="B78" s="10" t="s">
        <v>159</v>
      </c>
      <c r="C78" s="15">
        <v>1</v>
      </c>
      <c r="D78" s="10" t="s">
        <v>76</v>
      </c>
      <c r="E78" s="15">
        <v>3500</v>
      </c>
      <c r="F78" s="4">
        <v>46051</v>
      </c>
      <c r="G78" s="4">
        <v>46067</v>
      </c>
      <c r="H78" s="4">
        <v>46065</v>
      </c>
      <c r="I78" s="15">
        <v>16</v>
      </c>
      <c r="J78" s="15">
        <v>2</v>
      </c>
      <c r="K78" s="10" t="s">
        <v>116</v>
      </c>
      <c r="L78" s="11">
        <v>8400</v>
      </c>
    </row>
    <row r="79" spans="1:12">
      <c r="A79" s="10" t="s">
        <v>29</v>
      </c>
      <c r="B79" s="10" t="s">
        <v>160</v>
      </c>
      <c r="C79" s="15">
        <v>2</v>
      </c>
      <c r="D79" s="10" t="s">
        <v>119</v>
      </c>
      <c r="E79" s="15">
        <v>8250</v>
      </c>
      <c r="F79" s="4">
        <v>45994</v>
      </c>
      <c r="G79" s="4">
        <v>46009</v>
      </c>
      <c r="H79" s="4">
        <v>45995</v>
      </c>
      <c r="I79" s="15">
        <v>15</v>
      </c>
      <c r="J79" s="15">
        <v>14</v>
      </c>
      <c r="K79" s="10" t="s">
        <v>116</v>
      </c>
      <c r="L79" s="11">
        <v>13200</v>
      </c>
    </row>
    <row r="80" spans="1:12">
      <c r="A80" s="10" t="s">
        <v>29</v>
      </c>
      <c r="B80" s="10" t="s">
        <v>161</v>
      </c>
      <c r="C80" s="15">
        <v>1</v>
      </c>
      <c r="D80" s="10" t="s">
        <v>76</v>
      </c>
      <c r="E80" s="15">
        <v>1200</v>
      </c>
      <c r="F80" s="4">
        <v>46017</v>
      </c>
      <c r="G80" s="4">
        <v>46032</v>
      </c>
      <c r="H80" s="4">
        <v>46028</v>
      </c>
      <c r="I80" s="15">
        <v>15</v>
      </c>
      <c r="J80" s="15">
        <v>4</v>
      </c>
      <c r="K80" s="10" t="s">
        <v>116</v>
      </c>
      <c r="L80" s="11">
        <v>2880</v>
      </c>
    </row>
    <row r="81" spans="1:12">
      <c r="A81" s="10" t="s">
        <v>29</v>
      </c>
      <c r="B81" s="10" t="s">
        <v>150</v>
      </c>
      <c r="C81" s="15">
        <v>2</v>
      </c>
      <c r="D81" s="10" t="s">
        <v>76</v>
      </c>
      <c r="E81" s="15">
        <v>2950</v>
      </c>
      <c r="F81" s="4">
        <v>46108</v>
      </c>
      <c r="G81" s="4">
        <v>46123</v>
      </c>
      <c r="H81" s="4">
        <v>46119</v>
      </c>
      <c r="I81" s="15">
        <v>15</v>
      </c>
      <c r="J81" s="15">
        <v>4</v>
      </c>
      <c r="K81" s="10" t="s">
        <v>116</v>
      </c>
      <c r="L81" s="11">
        <v>7080</v>
      </c>
    </row>
    <row r="82" spans="1:12">
      <c r="A82" s="10" t="s">
        <v>29</v>
      </c>
      <c r="B82" s="10" t="s">
        <v>162</v>
      </c>
      <c r="C82" s="15">
        <v>1</v>
      </c>
      <c r="D82" s="10" t="s">
        <v>89</v>
      </c>
      <c r="E82" s="15">
        <v>2850</v>
      </c>
      <c r="F82" s="4">
        <v>46101</v>
      </c>
      <c r="G82" s="4">
        <v>46115</v>
      </c>
      <c r="H82" s="4">
        <v>46101</v>
      </c>
      <c r="I82" s="15">
        <v>14</v>
      </c>
      <c r="J82" s="15">
        <v>14</v>
      </c>
      <c r="K82" s="10" t="s">
        <v>116</v>
      </c>
      <c r="L82" s="11">
        <v>8835</v>
      </c>
    </row>
    <row r="83" spans="1:12">
      <c r="A83" s="10" t="s">
        <v>29</v>
      </c>
      <c r="B83" s="10" t="s">
        <v>163</v>
      </c>
      <c r="C83" s="15">
        <v>1</v>
      </c>
      <c r="D83" s="10" t="s">
        <v>89</v>
      </c>
      <c r="E83" s="15">
        <v>1950</v>
      </c>
      <c r="F83" s="4">
        <v>46128</v>
      </c>
      <c r="G83" s="4">
        <v>46142</v>
      </c>
      <c r="H83" s="4">
        <v>46138</v>
      </c>
      <c r="I83" s="15">
        <v>14</v>
      </c>
      <c r="J83" s="15">
        <v>4</v>
      </c>
      <c r="K83" s="10" t="s">
        <v>116</v>
      </c>
      <c r="L83" s="11">
        <v>6045</v>
      </c>
    </row>
    <row r="84" spans="1:12">
      <c r="A84" s="10" t="s">
        <v>29</v>
      </c>
      <c r="B84" s="10" t="s">
        <v>164</v>
      </c>
      <c r="C84" s="15">
        <v>1</v>
      </c>
      <c r="D84" s="10" t="s">
        <v>119</v>
      </c>
      <c r="E84" s="15">
        <v>9450</v>
      </c>
      <c r="F84" s="4">
        <v>46069</v>
      </c>
      <c r="G84" s="4">
        <v>46083</v>
      </c>
      <c r="H84" s="4">
        <v>46069</v>
      </c>
      <c r="I84" s="15">
        <v>14</v>
      </c>
      <c r="J84" s="15">
        <v>14</v>
      </c>
      <c r="K84" s="10" t="s">
        <v>116</v>
      </c>
      <c r="L84" s="11">
        <v>15120</v>
      </c>
    </row>
    <row r="85" spans="1:12">
      <c r="A85" s="10" t="s">
        <v>29</v>
      </c>
      <c r="B85" s="10" t="s">
        <v>165</v>
      </c>
      <c r="C85" s="15">
        <v>1</v>
      </c>
      <c r="D85" s="10" t="s">
        <v>76</v>
      </c>
      <c r="E85" s="15">
        <v>1350</v>
      </c>
      <c r="F85" s="4">
        <v>46079</v>
      </c>
      <c r="G85" s="4">
        <v>46092</v>
      </c>
      <c r="H85" s="4">
        <v>46086</v>
      </c>
      <c r="I85" s="15">
        <v>13</v>
      </c>
      <c r="J85" s="15">
        <v>6</v>
      </c>
      <c r="K85" s="10" t="s">
        <v>116</v>
      </c>
      <c r="L85" s="11">
        <v>3240</v>
      </c>
    </row>
    <row r="86" spans="1:12">
      <c r="A86" s="10" t="s">
        <v>29</v>
      </c>
      <c r="B86" s="10" t="s">
        <v>166</v>
      </c>
      <c r="C86" s="15">
        <v>1</v>
      </c>
      <c r="D86" s="10" t="s">
        <v>76</v>
      </c>
      <c r="E86" s="15">
        <v>7700</v>
      </c>
      <c r="F86" s="4">
        <v>46091</v>
      </c>
      <c r="G86" s="4">
        <v>46104</v>
      </c>
      <c r="H86" s="4">
        <v>46109</v>
      </c>
      <c r="I86" s="15">
        <v>13</v>
      </c>
      <c r="J86" s="15">
        <v>-5</v>
      </c>
      <c r="K86" s="10" t="s">
        <v>116</v>
      </c>
      <c r="L86" s="11">
        <v>18480</v>
      </c>
    </row>
    <row r="87" spans="1:12">
      <c r="A87" s="10" t="s">
        <v>29</v>
      </c>
      <c r="B87" s="10" t="s">
        <v>142</v>
      </c>
      <c r="C87" s="15">
        <v>1</v>
      </c>
      <c r="D87" s="10" t="s">
        <v>89</v>
      </c>
      <c r="E87" s="15">
        <v>250</v>
      </c>
      <c r="F87" s="4">
        <v>46099</v>
      </c>
      <c r="G87" s="4">
        <v>46111</v>
      </c>
      <c r="H87" s="4">
        <v>46113</v>
      </c>
      <c r="I87" s="15">
        <v>12</v>
      </c>
      <c r="J87" s="15">
        <v>-2</v>
      </c>
      <c r="K87" s="10" t="s">
        <v>116</v>
      </c>
      <c r="L87" s="11">
        <v>775</v>
      </c>
    </row>
    <row r="88" spans="1:12">
      <c r="A88" s="10" t="s">
        <v>29</v>
      </c>
      <c r="B88" s="10" t="s">
        <v>167</v>
      </c>
      <c r="C88" s="15">
        <v>1</v>
      </c>
      <c r="D88" s="10" t="s">
        <v>89</v>
      </c>
      <c r="E88" s="15">
        <v>4250</v>
      </c>
      <c r="F88" s="4">
        <v>46147</v>
      </c>
      <c r="G88" s="4">
        <v>46159</v>
      </c>
      <c r="H88" s="10"/>
      <c r="I88" s="15">
        <v>12</v>
      </c>
      <c r="J88" s="10"/>
      <c r="K88" s="10" t="s">
        <v>116</v>
      </c>
      <c r="L88" s="11">
        <v>13175</v>
      </c>
    </row>
    <row r="89" spans="1:12">
      <c r="A89" s="10" t="s">
        <v>29</v>
      </c>
      <c r="B89" s="10" t="s">
        <v>160</v>
      </c>
      <c r="C89" s="15">
        <v>1</v>
      </c>
      <c r="D89" s="10" t="s">
        <v>89</v>
      </c>
      <c r="E89" s="15">
        <v>3800</v>
      </c>
      <c r="F89" s="4">
        <v>45994</v>
      </c>
      <c r="G89" s="4">
        <v>46006</v>
      </c>
      <c r="H89" s="4">
        <v>45999</v>
      </c>
      <c r="I89" s="15">
        <v>12</v>
      </c>
      <c r="J89" s="15">
        <v>7</v>
      </c>
      <c r="K89" s="10" t="s">
        <v>116</v>
      </c>
      <c r="L89" s="11">
        <v>11780</v>
      </c>
    </row>
    <row r="90" spans="1:12">
      <c r="A90" s="10" t="s">
        <v>28</v>
      </c>
      <c r="B90" s="10" t="s">
        <v>168</v>
      </c>
      <c r="C90" s="15">
        <v>1</v>
      </c>
      <c r="D90" s="10" t="s">
        <v>87</v>
      </c>
      <c r="E90" s="15">
        <v>2500</v>
      </c>
      <c r="F90" s="4">
        <v>46087</v>
      </c>
      <c r="G90" s="4">
        <v>46099</v>
      </c>
      <c r="H90" s="10"/>
      <c r="I90" s="15">
        <v>12</v>
      </c>
      <c r="J90" s="10"/>
      <c r="K90" s="10" t="s">
        <v>116</v>
      </c>
      <c r="L90" s="11">
        <v>1375</v>
      </c>
    </row>
    <row r="91" spans="1:12">
      <c r="A91" s="10" t="s">
        <v>29</v>
      </c>
      <c r="B91" s="10" t="s">
        <v>169</v>
      </c>
      <c r="C91" s="15">
        <v>1</v>
      </c>
      <c r="D91" s="10" t="s">
        <v>119</v>
      </c>
      <c r="E91" s="15">
        <v>2600</v>
      </c>
      <c r="F91" s="4">
        <v>45916</v>
      </c>
      <c r="G91" s="4">
        <v>45927</v>
      </c>
      <c r="H91" s="4">
        <v>45921</v>
      </c>
      <c r="I91" s="15">
        <v>11</v>
      </c>
      <c r="J91" s="15">
        <v>6</v>
      </c>
      <c r="K91" s="10" t="s">
        <v>116</v>
      </c>
      <c r="L91" s="11">
        <v>4160</v>
      </c>
    </row>
    <row r="92" spans="1:12">
      <c r="A92" s="10" t="s">
        <v>29</v>
      </c>
      <c r="B92" s="10" t="s">
        <v>170</v>
      </c>
      <c r="C92" s="15">
        <v>1</v>
      </c>
      <c r="D92" s="10" t="s">
        <v>89</v>
      </c>
      <c r="E92" s="15">
        <v>3750</v>
      </c>
      <c r="F92" s="4">
        <v>46013</v>
      </c>
      <c r="G92" s="4">
        <v>46024</v>
      </c>
      <c r="H92" s="4">
        <v>46026</v>
      </c>
      <c r="I92" s="15">
        <v>11</v>
      </c>
      <c r="J92" s="15">
        <v>-2</v>
      </c>
      <c r="K92" s="10" t="s">
        <v>116</v>
      </c>
      <c r="L92" s="11">
        <v>11625</v>
      </c>
    </row>
    <row r="93" spans="1:12">
      <c r="A93" s="10" t="s">
        <v>29</v>
      </c>
      <c r="B93" s="10" t="s">
        <v>171</v>
      </c>
      <c r="C93" s="15">
        <v>2</v>
      </c>
      <c r="D93" s="10" t="s">
        <v>89</v>
      </c>
      <c r="E93" s="15">
        <v>2150</v>
      </c>
      <c r="F93" s="4">
        <v>46148</v>
      </c>
      <c r="G93" s="4">
        <v>46159</v>
      </c>
      <c r="H93" s="10"/>
      <c r="I93" s="15">
        <v>11</v>
      </c>
      <c r="J93" s="10"/>
      <c r="K93" s="10" t="s">
        <v>116</v>
      </c>
      <c r="L93" s="11">
        <v>6665</v>
      </c>
    </row>
    <row r="94" spans="1:12">
      <c r="A94" s="10" t="s">
        <v>29</v>
      </c>
      <c r="B94" s="10" t="s">
        <v>172</v>
      </c>
      <c r="C94" s="15">
        <v>1</v>
      </c>
      <c r="D94" s="10" t="s">
        <v>119</v>
      </c>
      <c r="E94" s="15">
        <v>9500</v>
      </c>
      <c r="F94" s="4">
        <v>46140</v>
      </c>
      <c r="G94" s="4">
        <v>46150</v>
      </c>
      <c r="H94" s="10"/>
      <c r="I94" s="15">
        <v>10</v>
      </c>
      <c r="J94" s="10"/>
      <c r="K94" s="10" t="s">
        <v>116</v>
      </c>
      <c r="L94" s="11">
        <v>15200</v>
      </c>
    </row>
    <row r="95" spans="1:12">
      <c r="A95" s="10" t="s">
        <v>29</v>
      </c>
      <c r="B95" s="10" t="s">
        <v>173</v>
      </c>
      <c r="C95" s="15">
        <v>1</v>
      </c>
      <c r="D95" s="10" t="s">
        <v>89</v>
      </c>
      <c r="E95" s="15">
        <v>350</v>
      </c>
      <c r="F95" s="4">
        <v>46149</v>
      </c>
      <c r="G95" s="10"/>
      <c r="H95" s="10"/>
      <c r="I95" s="15">
        <v>10</v>
      </c>
      <c r="J95" s="10"/>
      <c r="K95" s="10" t="s">
        <v>72</v>
      </c>
      <c r="L95" s="11">
        <v>0</v>
      </c>
    </row>
    <row r="96" spans="1:12">
      <c r="A96" s="10" t="s">
        <v>29</v>
      </c>
      <c r="B96" s="10" t="s">
        <v>174</v>
      </c>
      <c r="C96" s="15">
        <v>1</v>
      </c>
      <c r="D96" s="10" t="s">
        <v>119</v>
      </c>
      <c r="E96" s="15">
        <v>7250</v>
      </c>
      <c r="F96" s="4">
        <v>46071</v>
      </c>
      <c r="G96" s="4">
        <v>46080</v>
      </c>
      <c r="H96" s="4">
        <v>46078</v>
      </c>
      <c r="I96" s="15">
        <v>9</v>
      </c>
      <c r="J96" s="15">
        <v>2</v>
      </c>
      <c r="K96" s="10" t="s">
        <v>116</v>
      </c>
      <c r="L96" s="11">
        <v>11600</v>
      </c>
    </row>
    <row r="97" spans="1:12">
      <c r="A97" s="10" t="s">
        <v>29</v>
      </c>
      <c r="B97" s="10" t="s">
        <v>175</v>
      </c>
      <c r="C97" s="15">
        <v>1</v>
      </c>
      <c r="D97" s="10" t="s">
        <v>89</v>
      </c>
      <c r="E97" s="15">
        <v>5650</v>
      </c>
      <c r="F97" s="4">
        <v>46091</v>
      </c>
      <c r="G97" s="4">
        <v>46099</v>
      </c>
      <c r="H97" s="4">
        <v>46099</v>
      </c>
      <c r="I97" s="15">
        <v>8</v>
      </c>
      <c r="J97" s="15">
        <v>0</v>
      </c>
      <c r="K97" s="10" t="s">
        <v>116</v>
      </c>
      <c r="L97" s="11">
        <v>17515</v>
      </c>
    </row>
    <row r="98" spans="1:12">
      <c r="A98" s="10" t="s">
        <v>29</v>
      </c>
      <c r="B98" s="10" t="s">
        <v>174</v>
      </c>
      <c r="C98" s="15">
        <v>3</v>
      </c>
      <c r="D98" s="10" t="s">
        <v>76</v>
      </c>
      <c r="E98" s="15">
        <v>300</v>
      </c>
      <c r="F98" s="4">
        <v>46071</v>
      </c>
      <c r="G98" s="4">
        <v>46079</v>
      </c>
      <c r="H98" s="4">
        <v>46071</v>
      </c>
      <c r="I98" s="15">
        <v>8</v>
      </c>
      <c r="J98" s="15">
        <v>8</v>
      </c>
      <c r="K98" s="10" t="s">
        <v>116</v>
      </c>
      <c r="L98" s="11">
        <v>720</v>
      </c>
    </row>
    <row r="99" spans="1:12">
      <c r="A99" s="10" t="s">
        <v>29</v>
      </c>
      <c r="B99" s="10" t="s">
        <v>121</v>
      </c>
      <c r="C99" s="15">
        <v>1</v>
      </c>
      <c r="D99" s="10" t="s">
        <v>119</v>
      </c>
      <c r="E99" s="15">
        <v>4500</v>
      </c>
      <c r="F99" s="4">
        <v>45917</v>
      </c>
      <c r="G99" s="4">
        <v>45925</v>
      </c>
      <c r="H99" s="4">
        <v>45930</v>
      </c>
      <c r="I99" s="15">
        <v>8</v>
      </c>
      <c r="J99" s="15">
        <v>-5</v>
      </c>
      <c r="K99" s="10" t="s">
        <v>116</v>
      </c>
      <c r="L99" s="11">
        <v>7200</v>
      </c>
    </row>
    <row r="100" spans="1:12">
      <c r="A100" s="10" t="s">
        <v>29</v>
      </c>
      <c r="B100" s="10" t="s">
        <v>176</v>
      </c>
      <c r="C100" s="15">
        <v>1</v>
      </c>
      <c r="D100" s="10" t="s">
        <v>89</v>
      </c>
      <c r="E100" s="15">
        <v>350</v>
      </c>
      <c r="F100" s="4">
        <v>46151</v>
      </c>
      <c r="G100" s="10"/>
      <c r="H100" s="10"/>
      <c r="I100" s="15">
        <v>8</v>
      </c>
      <c r="J100" s="10"/>
      <c r="K100" s="10" t="s">
        <v>72</v>
      </c>
      <c r="L100" s="11">
        <v>0</v>
      </c>
    </row>
    <row r="101" spans="1:12">
      <c r="A101" s="10" t="s">
        <v>28</v>
      </c>
      <c r="B101" s="10" t="s">
        <v>177</v>
      </c>
      <c r="C101" s="15">
        <v>2</v>
      </c>
      <c r="D101" s="10" t="s">
        <v>79</v>
      </c>
      <c r="E101" s="15">
        <v>9900</v>
      </c>
      <c r="F101" s="4">
        <v>46035</v>
      </c>
      <c r="G101" s="4">
        <v>46043</v>
      </c>
      <c r="H101" s="4">
        <v>46045</v>
      </c>
      <c r="I101" s="15">
        <v>8</v>
      </c>
      <c r="J101" s="15">
        <v>-2</v>
      </c>
      <c r="K101" s="10" t="s">
        <v>116</v>
      </c>
      <c r="L101" s="11">
        <v>4059</v>
      </c>
    </row>
    <row r="102" spans="1:12">
      <c r="A102" s="10" t="s">
        <v>28</v>
      </c>
      <c r="B102" s="10" t="s">
        <v>178</v>
      </c>
      <c r="C102" s="15">
        <v>2</v>
      </c>
      <c r="D102" s="10" t="s">
        <v>87</v>
      </c>
      <c r="E102" s="15">
        <v>20000</v>
      </c>
      <c r="F102" s="4">
        <v>46093</v>
      </c>
      <c r="G102" s="4">
        <v>46100</v>
      </c>
      <c r="H102" s="4">
        <v>46093</v>
      </c>
      <c r="I102" s="15">
        <v>7</v>
      </c>
      <c r="J102" s="15">
        <v>7</v>
      </c>
      <c r="K102" s="10" t="s">
        <v>116</v>
      </c>
      <c r="L102" s="11">
        <v>11000</v>
      </c>
    </row>
    <row r="103" spans="1:12">
      <c r="A103" s="10" t="s">
        <v>27</v>
      </c>
      <c r="B103" s="10" t="s">
        <v>179</v>
      </c>
      <c r="C103" s="15">
        <v>3</v>
      </c>
      <c r="D103" s="10" t="s">
        <v>71</v>
      </c>
      <c r="E103" s="15">
        <v>8600</v>
      </c>
      <c r="F103" s="4">
        <v>46083</v>
      </c>
      <c r="G103" s="4">
        <v>46089</v>
      </c>
      <c r="H103" s="10"/>
      <c r="I103" s="15">
        <v>6</v>
      </c>
      <c r="J103" s="10"/>
      <c r="K103" s="10" t="s">
        <v>116</v>
      </c>
      <c r="L103" s="11">
        <v>193500</v>
      </c>
    </row>
    <row r="104" spans="1:12">
      <c r="A104" s="10" t="s">
        <v>28</v>
      </c>
      <c r="B104" s="10" t="s">
        <v>180</v>
      </c>
      <c r="C104" s="15">
        <v>1</v>
      </c>
      <c r="D104" s="10" t="s">
        <v>102</v>
      </c>
      <c r="E104" s="15">
        <v>8400</v>
      </c>
      <c r="F104" s="4">
        <v>46084</v>
      </c>
      <c r="G104" s="4">
        <v>46090</v>
      </c>
      <c r="H104" s="4">
        <v>46084</v>
      </c>
      <c r="I104" s="15">
        <v>6</v>
      </c>
      <c r="J104" s="15">
        <v>6</v>
      </c>
      <c r="K104" s="10" t="s">
        <v>116</v>
      </c>
      <c r="L104" s="11">
        <v>5208</v>
      </c>
    </row>
    <row r="105" spans="1:12">
      <c r="A105" s="10" t="s">
        <v>28</v>
      </c>
      <c r="B105" s="10" t="s">
        <v>181</v>
      </c>
      <c r="C105" s="15">
        <v>3</v>
      </c>
      <c r="D105" s="10" t="s">
        <v>102</v>
      </c>
      <c r="E105" s="15">
        <v>4100</v>
      </c>
      <c r="F105" s="4">
        <v>45993</v>
      </c>
      <c r="G105" s="4">
        <v>45999</v>
      </c>
      <c r="H105" s="4">
        <v>45997</v>
      </c>
      <c r="I105" s="15">
        <v>6</v>
      </c>
      <c r="J105" s="15">
        <v>2</v>
      </c>
      <c r="K105" s="10" t="s">
        <v>116</v>
      </c>
      <c r="L105" s="11">
        <v>2542</v>
      </c>
    </row>
    <row r="106" spans="1:12">
      <c r="A106" s="10" t="s">
        <v>28</v>
      </c>
      <c r="B106" s="10" t="s">
        <v>182</v>
      </c>
      <c r="C106" s="15">
        <v>2</v>
      </c>
      <c r="D106" s="10" t="s">
        <v>183</v>
      </c>
      <c r="E106" s="15">
        <v>24500</v>
      </c>
      <c r="F106" s="4">
        <v>45957</v>
      </c>
      <c r="G106" s="4">
        <v>45963</v>
      </c>
      <c r="H106" s="4">
        <v>45965</v>
      </c>
      <c r="I106" s="15">
        <v>6</v>
      </c>
      <c r="J106" s="15">
        <v>-2</v>
      </c>
      <c r="K106" s="10" t="s">
        <v>116</v>
      </c>
      <c r="L106" s="11">
        <v>21070</v>
      </c>
    </row>
    <row r="107" spans="1:12">
      <c r="A107" s="10" t="s">
        <v>28</v>
      </c>
      <c r="B107" s="10" t="s">
        <v>182</v>
      </c>
      <c r="C107" s="15">
        <v>3</v>
      </c>
      <c r="D107" s="10" t="s">
        <v>102</v>
      </c>
      <c r="E107" s="15">
        <v>24600</v>
      </c>
      <c r="F107" s="4">
        <v>45957</v>
      </c>
      <c r="G107" s="4">
        <v>45963</v>
      </c>
      <c r="H107" s="4">
        <v>45961</v>
      </c>
      <c r="I107" s="15">
        <v>6</v>
      </c>
      <c r="J107" s="15">
        <v>2</v>
      </c>
      <c r="K107" s="10" t="s">
        <v>116</v>
      </c>
      <c r="L107" s="11">
        <v>15252</v>
      </c>
    </row>
    <row r="108" spans="1:12">
      <c r="A108" s="10" t="s">
        <v>30</v>
      </c>
      <c r="B108" s="10" t="s">
        <v>184</v>
      </c>
      <c r="C108" s="15">
        <v>1</v>
      </c>
      <c r="D108" s="10" t="s">
        <v>185</v>
      </c>
      <c r="E108" s="15">
        <v>59</v>
      </c>
      <c r="F108" s="4">
        <v>46094</v>
      </c>
      <c r="G108" s="4">
        <v>46100</v>
      </c>
      <c r="H108" s="10"/>
      <c r="I108" s="15">
        <v>6</v>
      </c>
      <c r="J108" s="10"/>
      <c r="K108" s="10" t="s">
        <v>116</v>
      </c>
      <c r="L108" s="11">
        <v>5664</v>
      </c>
    </row>
    <row r="109" spans="1:12">
      <c r="A109" s="10" t="s">
        <v>27</v>
      </c>
      <c r="B109" s="10" t="s">
        <v>186</v>
      </c>
      <c r="C109" s="15">
        <v>1</v>
      </c>
      <c r="D109" s="10" t="s">
        <v>108</v>
      </c>
      <c r="E109" s="15">
        <v>11700</v>
      </c>
      <c r="F109" s="4">
        <v>45971</v>
      </c>
      <c r="G109" s="4">
        <v>45976</v>
      </c>
      <c r="H109" s="4">
        <v>45972</v>
      </c>
      <c r="I109" s="15">
        <v>5</v>
      </c>
      <c r="J109" s="15">
        <v>4</v>
      </c>
      <c r="K109" s="10" t="s">
        <v>116</v>
      </c>
      <c r="L109" s="11">
        <v>55107</v>
      </c>
    </row>
    <row r="110" spans="1:12">
      <c r="A110" s="10" t="s">
        <v>27</v>
      </c>
      <c r="B110" s="10" t="s">
        <v>187</v>
      </c>
      <c r="C110" s="15">
        <v>2</v>
      </c>
      <c r="D110" s="10" t="s">
        <v>105</v>
      </c>
      <c r="E110" s="15">
        <v>17500</v>
      </c>
      <c r="F110" s="4">
        <v>45971</v>
      </c>
      <c r="G110" s="4">
        <v>45976</v>
      </c>
      <c r="H110" s="4">
        <v>45971</v>
      </c>
      <c r="I110" s="15">
        <v>5</v>
      </c>
      <c r="J110" s="15">
        <v>5</v>
      </c>
      <c r="K110" s="10" t="s">
        <v>116</v>
      </c>
      <c r="L110" s="11">
        <v>137200</v>
      </c>
    </row>
    <row r="111" spans="1:12">
      <c r="A111" s="10" t="s">
        <v>28</v>
      </c>
      <c r="B111" s="10" t="s">
        <v>188</v>
      </c>
      <c r="C111" s="15">
        <v>1</v>
      </c>
      <c r="D111" s="10" t="s">
        <v>79</v>
      </c>
      <c r="E111" s="15">
        <v>18200</v>
      </c>
      <c r="F111" s="4">
        <v>46133</v>
      </c>
      <c r="G111" s="4">
        <v>46138</v>
      </c>
      <c r="H111" s="10"/>
      <c r="I111" s="15">
        <v>5</v>
      </c>
      <c r="J111" s="10"/>
      <c r="K111" s="10" t="s">
        <v>116</v>
      </c>
      <c r="L111" s="11">
        <v>7462</v>
      </c>
    </row>
    <row r="112" spans="1:12">
      <c r="A112" s="10" t="s">
        <v>28</v>
      </c>
      <c r="B112" s="10" t="s">
        <v>189</v>
      </c>
      <c r="C112" s="15">
        <v>1</v>
      </c>
      <c r="D112" s="10" t="s">
        <v>87</v>
      </c>
      <c r="E112" s="15">
        <v>5600</v>
      </c>
      <c r="F112" s="4">
        <v>45951</v>
      </c>
      <c r="G112" s="4">
        <v>45956</v>
      </c>
      <c r="H112" s="4">
        <v>45961</v>
      </c>
      <c r="I112" s="15">
        <v>5</v>
      </c>
      <c r="J112" s="15">
        <v>-5</v>
      </c>
      <c r="K112" s="10" t="s">
        <v>116</v>
      </c>
      <c r="L112" s="11">
        <v>3080</v>
      </c>
    </row>
    <row r="113" spans="1:12">
      <c r="A113" s="10" t="s">
        <v>28</v>
      </c>
      <c r="B113" s="10" t="s">
        <v>190</v>
      </c>
      <c r="C113" s="15">
        <v>1</v>
      </c>
      <c r="D113" s="10" t="s">
        <v>102</v>
      </c>
      <c r="E113" s="15">
        <v>24200</v>
      </c>
      <c r="F113" s="4">
        <v>45989</v>
      </c>
      <c r="G113" s="4">
        <v>45994</v>
      </c>
      <c r="H113" s="4">
        <v>45989</v>
      </c>
      <c r="I113" s="15">
        <v>5</v>
      </c>
      <c r="J113" s="15">
        <v>5</v>
      </c>
      <c r="K113" s="10" t="s">
        <v>116</v>
      </c>
      <c r="L113" s="11">
        <v>15004</v>
      </c>
    </row>
    <row r="114" spans="1:12">
      <c r="A114" s="10" t="s">
        <v>28</v>
      </c>
      <c r="B114" s="10" t="s">
        <v>191</v>
      </c>
      <c r="C114" s="15">
        <v>2</v>
      </c>
      <c r="D114" s="10" t="s">
        <v>74</v>
      </c>
      <c r="E114" s="15">
        <v>1300</v>
      </c>
      <c r="F114" s="4">
        <v>45957</v>
      </c>
      <c r="G114" s="4">
        <v>45962</v>
      </c>
      <c r="H114" s="4">
        <v>45957</v>
      </c>
      <c r="I114" s="15">
        <v>5</v>
      </c>
      <c r="J114" s="15">
        <v>5</v>
      </c>
      <c r="K114" s="10" t="s">
        <v>116</v>
      </c>
      <c r="L114" s="11">
        <v>1092</v>
      </c>
    </row>
    <row r="115" spans="1:12">
      <c r="A115" s="10" t="s">
        <v>28</v>
      </c>
      <c r="B115" s="10" t="s">
        <v>192</v>
      </c>
      <c r="C115" s="15">
        <v>1</v>
      </c>
      <c r="D115" s="10" t="s">
        <v>79</v>
      </c>
      <c r="E115" s="15">
        <v>20000</v>
      </c>
      <c r="F115" s="4">
        <v>45947</v>
      </c>
      <c r="G115" s="4">
        <v>45952</v>
      </c>
      <c r="H115" s="4">
        <v>45952</v>
      </c>
      <c r="I115" s="15">
        <v>5</v>
      </c>
      <c r="J115" s="15">
        <v>0</v>
      </c>
      <c r="K115" s="10" t="s">
        <v>116</v>
      </c>
      <c r="L115" s="11">
        <v>8200</v>
      </c>
    </row>
    <row r="116" spans="1:12">
      <c r="A116" s="10" t="s">
        <v>30</v>
      </c>
      <c r="B116" s="10" t="s">
        <v>193</v>
      </c>
      <c r="C116" s="15">
        <v>2</v>
      </c>
      <c r="D116" s="10" t="s">
        <v>194</v>
      </c>
      <c r="E116" s="15">
        <v>38</v>
      </c>
      <c r="F116" s="4">
        <v>46016</v>
      </c>
      <c r="G116" s="4">
        <v>46021</v>
      </c>
      <c r="H116" s="4">
        <v>46016</v>
      </c>
      <c r="I116" s="15">
        <v>5</v>
      </c>
      <c r="J116" s="15">
        <v>5</v>
      </c>
      <c r="K116" s="10" t="s">
        <v>116</v>
      </c>
      <c r="L116" s="11">
        <v>47120</v>
      </c>
    </row>
    <row r="117" spans="1:12">
      <c r="A117" s="10" t="s">
        <v>29</v>
      </c>
      <c r="B117" s="10" t="s">
        <v>195</v>
      </c>
      <c r="C117" s="15">
        <v>1</v>
      </c>
      <c r="D117" s="10" t="s">
        <v>76</v>
      </c>
      <c r="E117" s="15">
        <v>5350</v>
      </c>
      <c r="F117" s="4">
        <v>46077</v>
      </c>
      <c r="G117" s="4">
        <v>46081</v>
      </c>
      <c r="H117" s="4">
        <v>46088</v>
      </c>
      <c r="I117" s="15">
        <v>4</v>
      </c>
      <c r="J117" s="15">
        <v>-7</v>
      </c>
      <c r="K117" s="10" t="s">
        <v>116</v>
      </c>
      <c r="L117" s="11">
        <v>12840</v>
      </c>
    </row>
    <row r="118" spans="1:12">
      <c r="A118" s="10" t="s">
        <v>29</v>
      </c>
      <c r="B118" s="10" t="s">
        <v>196</v>
      </c>
      <c r="C118" s="15">
        <v>1</v>
      </c>
      <c r="D118" s="10" t="s">
        <v>119</v>
      </c>
      <c r="E118" s="15">
        <v>5250</v>
      </c>
      <c r="F118" s="4">
        <v>46155</v>
      </c>
      <c r="G118" s="4">
        <v>46159</v>
      </c>
      <c r="H118" s="10"/>
      <c r="I118" s="15">
        <v>4</v>
      </c>
      <c r="J118" s="10"/>
      <c r="K118" s="10" t="s">
        <v>116</v>
      </c>
      <c r="L118" s="11">
        <v>8400</v>
      </c>
    </row>
    <row r="119" spans="1:12">
      <c r="A119" s="10" t="s">
        <v>29</v>
      </c>
      <c r="B119" s="10" t="s">
        <v>197</v>
      </c>
      <c r="C119" s="15">
        <v>1</v>
      </c>
      <c r="D119" s="10" t="s">
        <v>89</v>
      </c>
      <c r="E119" s="15">
        <v>2000</v>
      </c>
      <c r="F119" s="4">
        <v>46059</v>
      </c>
      <c r="G119" s="4">
        <v>46063</v>
      </c>
      <c r="H119" s="4">
        <v>46076</v>
      </c>
      <c r="I119" s="15">
        <v>4</v>
      </c>
      <c r="J119" s="15">
        <v>-13</v>
      </c>
      <c r="K119" s="10" t="s">
        <v>116</v>
      </c>
      <c r="L119" s="11">
        <v>6200</v>
      </c>
    </row>
    <row r="120" spans="1:12">
      <c r="A120" s="10" t="s">
        <v>29</v>
      </c>
      <c r="B120" s="10" t="s">
        <v>141</v>
      </c>
      <c r="C120" s="15">
        <v>2</v>
      </c>
      <c r="D120" s="10" t="s">
        <v>119</v>
      </c>
      <c r="E120" s="15">
        <v>3350</v>
      </c>
      <c r="F120" s="4">
        <v>46071</v>
      </c>
      <c r="G120" s="4">
        <v>46075</v>
      </c>
      <c r="H120" s="4">
        <v>46078</v>
      </c>
      <c r="I120" s="15">
        <v>4</v>
      </c>
      <c r="J120" s="15">
        <v>-3</v>
      </c>
      <c r="K120" s="10" t="s">
        <v>116</v>
      </c>
      <c r="L120" s="11">
        <v>5360</v>
      </c>
    </row>
    <row r="121" spans="1:12">
      <c r="A121" s="10" t="s">
        <v>29</v>
      </c>
      <c r="B121" s="10" t="s">
        <v>198</v>
      </c>
      <c r="C121" s="15">
        <v>1</v>
      </c>
      <c r="D121" s="10" t="s">
        <v>89</v>
      </c>
      <c r="E121" s="15">
        <v>6900</v>
      </c>
      <c r="F121" s="4">
        <v>46155</v>
      </c>
      <c r="G121" s="10"/>
      <c r="H121" s="10"/>
      <c r="I121" s="15">
        <v>4</v>
      </c>
      <c r="J121" s="10"/>
      <c r="K121" s="10" t="s">
        <v>72</v>
      </c>
      <c r="L121" s="11">
        <v>20354.6</v>
      </c>
    </row>
    <row r="122" spans="1:12">
      <c r="A122" s="10" t="s">
        <v>29</v>
      </c>
      <c r="B122" s="10" t="s">
        <v>198</v>
      </c>
      <c r="C122" s="15">
        <v>2</v>
      </c>
      <c r="D122" s="10" t="s">
        <v>119</v>
      </c>
      <c r="E122" s="15">
        <v>1150</v>
      </c>
      <c r="F122" s="4">
        <v>46155</v>
      </c>
      <c r="G122" s="4">
        <v>46159</v>
      </c>
      <c r="H122" s="10"/>
      <c r="I122" s="15">
        <v>4</v>
      </c>
      <c r="J122" s="10"/>
      <c r="K122" s="10" t="s">
        <v>116</v>
      </c>
      <c r="L122" s="11">
        <v>1840</v>
      </c>
    </row>
    <row r="123" spans="1:12">
      <c r="A123" s="10" t="s">
        <v>28</v>
      </c>
      <c r="B123" s="10" t="s">
        <v>199</v>
      </c>
      <c r="C123" s="15">
        <v>1</v>
      </c>
      <c r="D123" s="10" t="s">
        <v>74</v>
      </c>
      <c r="E123" s="15">
        <v>6100</v>
      </c>
      <c r="F123" s="4">
        <v>46100</v>
      </c>
      <c r="G123" s="4">
        <v>46104</v>
      </c>
      <c r="H123" s="4">
        <v>46100</v>
      </c>
      <c r="I123" s="15">
        <v>4</v>
      </c>
      <c r="J123" s="15">
        <v>4</v>
      </c>
      <c r="K123" s="10" t="s">
        <v>116</v>
      </c>
      <c r="L123" s="11">
        <v>5124</v>
      </c>
    </row>
    <row r="124" spans="1:12">
      <c r="A124" s="10" t="s">
        <v>28</v>
      </c>
      <c r="B124" s="10" t="s">
        <v>200</v>
      </c>
      <c r="C124" s="15">
        <v>1</v>
      </c>
      <c r="D124" s="10" t="s">
        <v>87</v>
      </c>
      <c r="E124" s="15">
        <v>23500</v>
      </c>
      <c r="F124" s="4">
        <v>46134</v>
      </c>
      <c r="G124" s="4">
        <v>46138</v>
      </c>
      <c r="H124" s="4">
        <v>46134</v>
      </c>
      <c r="I124" s="15">
        <v>4</v>
      </c>
      <c r="J124" s="15">
        <v>4</v>
      </c>
      <c r="K124" s="10" t="s">
        <v>116</v>
      </c>
      <c r="L124" s="11">
        <v>12925</v>
      </c>
    </row>
    <row r="125" spans="1:12">
      <c r="A125" s="10" t="s">
        <v>28</v>
      </c>
      <c r="B125" s="10" t="s">
        <v>201</v>
      </c>
      <c r="C125" s="15">
        <v>2</v>
      </c>
      <c r="D125" s="10" t="s">
        <v>87</v>
      </c>
      <c r="E125" s="15">
        <v>3500</v>
      </c>
      <c r="F125" s="4">
        <v>45973</v>
      </c>
      <c r="G125" s="4">
        <v>45977</v>
      </c>
      <c r="H125" s="4">
        <v>45978</v>
      </c>
      <c r="I125" s="15">
        <v>4</v>
      </c>
      <c r="J125" s="15">
        <v>-1</v>
      </c>
      <c r="K125" s="10" t="s">
        <v>116</v>
      </c>
      <c r="L125" s="11">
        <v>1925</v>
      </c>
    </row>
    <row r="126" spans="1:12">
      <c r="A126" s="10" t="s">
        <v>28</v>
      </c>
      <c r="B126" s="10" t="s">
        <v>202</v>
      </c>
      <c r="C126" s="15">
        <v>1</v>
      </c>
      <c r="D126" s="10" t="s">
        <v>87</v>
      </c>
      <c r="E126" s="15">
        <v>21700</v>
      </c>
      <c r="F126" s="4">
        <v>46070</v>
      </c>
      <c r="G126" s="4">
        <v>46074</v>
      </c>
      <c r="H126" s="4">
        <v>46073</v>
      </c>
      <c r="I126" s="15">
        <v>4</v>
      </c>
      <c r="J126" s="15">
        <v>1</v>
      </c>
      <c r="K126" s="10" t="s">
        <v>116</v>
      </c>
      <c r="L126" s="11">
        <v>11935</v>
      </c>
    </row>
    <row r="127" spans="1:12">
      <c r="A127" s="10" t="s">
        <v>28</v>
      </c>
      <c r="B127" s="10" t="s">
        <v>203</v>
      </c>
      <c r="C127" s="15">
        <v>1</v>
      </c>
      <c r="D127" s="10" t="s">
        <v>87</v>
      </c>
      <c r="E127" s="15">
        <v>14300</v>
      </c>
      <c r="F127" s="4">
        <v>45978</v>
      </c>
      <c r="G127" s="4">
        <v>45982</v>
      </c>
      <c r="H127" s="4">
        <v>45978</v>
      </c>
      <c r="I127" s="15">
        <v>4</v>
      </c>
      <c r="J127" s="15">
        <v>4</v>
      </c>
      <c r="K127" s="10" t="s">
        <v>116</v>
      </c>
      <c r="L127" s="11">
        <v>7865</v>
      </c>
    </row>
    <row r="128" spans="1:12">
      <c r="A128" s="10" t="s">
        <v>28</v>
      </c>
      <c r="B128" s="10" t="s">
        <v>204</v>
      </c>
      <c r="C128" s="15">
        <v>1</v>
      </c>
      <c r="D128" s="10" t="s">
        <v>102</v>
      </c>
      <c r="E128" s="15">
        <v>11000</v>
      </c>
      <c r="F128" s="4">
        <v>45987</v>
      </c>
      <c r="G128" s="4">
        <v>45991</v>
      </c>
      <c r="H128" s="4">
        <v>45987</v>
      </c>
      <c r="I128" s="15">
        <v>4</v>
      </c>
      <c r="J128" s="15">
        <v>4</v>
      </c>
      <c r="K128" s="10" t="s">
        <v>116</v>
      </c>
      <c r="L128" s="11">
        <v>6820</v>
      </c>
    </row>
    <row r="129" spans="1:12">
      <c r="A129" s="10" t="s">
        <v>28</v>
      </c>
      <c r="B129" s="10" t="s">
        <v>205</v>
      </c>
      <c r="C129" s="15">
        <v>1</v>
      </c>
      <c r="D129" s="10" t="s">
        <v>87</v>
      </c>
      <c r="E129" s="15">
        <v>1300</v>
      </c>
      <c r="F129" s="4">
        <v>45993</v>
      </c>
      <c r="G129" s="4">
        <v>45997</v>
      </c>
      <c r="H129" s="4">
        <v>45993</v>
      </c>
      <c r="I129" s="15">
        <v>4</v>
      </c>
      <c r="J129" s="15">
        <v>4</v>
      </c>
      <c r="K129" s="10" t="s">
        <v>116</v>
      </c>
      <c r="L129" s="11">
        <v>715</v>
      </c>
    </row>
    <row r="130" spans="1:12">
      <c r="A130" s="10" t="s">
        <v>31</v>
      </c>
      <c r="B130" s="10" t="s">
        <v>206</v>
      </c>
      <c r="C130" s="15">
        <v>1</v>
      </c>
      <c r="D130" s="10" t="s">
        <v>85</v>
      </c>
      <c r="E130" s="15">
        <v>2500</v>
      </c>
      <c r="F130" s="4">
        <v>46155</v>
      </c>
      <c r="G130" s="10"/>
      <c r="H130" s="10"/>
      <c r="I130" s="15">
        <v>4</v>
      </c>
      <c r="J130" s="10"/>
      <c r="K130" s="10" t="s">
        <v>72</v>
      </c>
      <c r="L130" s="11">
        <v>0</v>
      </c>
    </row>
    <row r="131" spans="1:12">
      <c r="A131" s="10" t="s">
        <v>30</v>
      </c>
      <c r="B131" s="10" t="s">
        <v>207</v>
      </c>
      <c r="C131" s="15">
        <v>2</v>
      </c>
      <c r="D131" s="10" t="s">
        <v>208</v>
      </c>
      <c r="E131" s="15">
        <v>33</v>
      </c>
      <c r="F131" s="4">
        <v>45999</v>
      </c>
      <c r="G131" s="4">
        <v>46003</v>
      </c>
      <c r="H131" s="4">
        <v>45999</v>
      </c>
      <c r="I131" s="15">
        <v>4</v>
      </c>
      <c r="J131" s="15">
        <v>4</v>
      </c>
      <c r="K131" s="10" t="s">
        <v>116</v>
      </c>
      <c r="L131" s="11">
        <v>600.6</v>
      </c>
    </row>
    <row r="132" spans="1:12">
      <c r="A132" s="10" t="s">
        <v>30</v>
      </c>
      <c r="B132" s="10" t="s">
        <v>207</v>
      </c>
      <c r="C132" s="15">
        <v>3</v>
      </c>
      <c r="D132" s="10" t="s">
        <v>185</v>
      </c>
      <c r="E132" s="15">
        <v>38</v>
      </c>
      <c r="F132" s="4">
        <v>45999</v>
      </c>
      <c r="G132" s="4">
        <v>46003</v>
      </c>
      <c r="H132" s="4">
        <v>45999</v>
      </c>
      <c r="I132" s="15">
        <v>4</v>
      </c>
      <c r="J132" s="15">
        <v>4</v>
      </c>
      <c r="K132" s="10" t="s">
        <v>116</v>
      </c>
      <c r="L132" s="11">
        <v>3648</v>
      </c>
    </row>
    <row r="133" spans="1:12">
      <c r="A133" s="10" t="s">
        <v>27</v>
      </c>
      <c r="B133" s="10" t="s">
        <v>209</v>
      </c>
      <c r="C133" s="15">
        <v>2</v>
      </c>
      <c r="D133" s="10" t="s">
        <v>71</v>
      </c>
      <c r="E133" s="15">
        <v>18300</v>
      </c>
      <c r="F133" s="4">
        <v>46024</v>
      </c>
      <c r="G133" s="4">
        <v>46027</v>
      </c>
      <c r="H133" s="4">
        <v>46024</v>
      </c>
      <c r="I133" s="15">
        <v>3</v>
      </c>
      <c r="J133" s="15">
        <v>3</v>
      </c>
      <c r="K133" s="10" t="s">
        <v>116</v>
      </c>
      <c r="L133" s="11">
        <v>411750</v>
      </c>
    </row>
    <row r="134" spans="1:12">
      <c r="A134" s="10" t="s">
        <v>27</v>
      </c>
      <c r="B134" s="10" t="s">
        <v>210</v>
      </c>
      <c r="C134" s="15">
        <v>1</v>
      </c>
      <c r="D134" s="10" t="s">
        <v>104</v>
      </c>
      <c r="E134" s="15">
        <v>2300</v>
      </c>
      <c r="F134" s="4">
        <v>46045</v>
      </c>
      <c r="G134" s="4">
        <v>46048</v>
      </c>
      <c r="H134" s="4">
        <v>46045</v>
      </c>
      <c r="I134" s="15">
        <v>3</v>
      </c>
      <c r="J134" s="15">
        <v>3</v>
      </c>
      <c r="K134" s="10" t="s">
        <v>116</v>
      </c>
      <c r="L134" s="11">
        <v>6555</v>
      </c>
    </row>
    <row r="135" spans="1:12">
      <c r="A135" s="10" t="s">
        <v>29</v>
      </c>
      <c r="B135" s="10" t="s">
        <v>211</v>
      </c>
      <c r="C135" s="15">
        <v>1</v>
      </c>
      <c r="D135" s="10" t="s">
        <v>89</v>
      </c>
      <c r="E135" s="15">
        <v>4500</v>
      </c>
      <c r="F135" s="4">
        <v>45996</v>
      </c>
      <c r="G135" s="4">
        <v>45999</v>
      </c>
      <c r="H135" s="4">
        <v>46004</v>
      </c>
      <c r="I135" s="15">
        <v>3</v>
      </c>
      <c r="J135" s="15">
        <v>-5</v>
      </c>
      <c r="K135" s="10" t="s">
        <v>116</v>
      </c>
      <c r="L135" s="11">
        <v>13950</v>
      </c>
    </row>
    <row r="136" spans="1:12">
      <c r="A136" s="10" t="s">
        <v>29</v>
      </c>
      <c r="B136" s="10" t="s">
        <v>212</v>
      </c>
      <c r="C136" s="15">
        <v>2</v>
      </c>
      <c r="D136" s="10" t="s">
        <v>89</v>
      </c>
      <c r="E136" s="15">
        <v>600</v>
      </c>
      <c r="F136" s="4">
        <v>45936</v>
      </c>
      <c r="G136" s="4">
        <v>45939</v>
      </c>
      <c r="H136" s="4">
        <v>45944</v>
      </c>
      <c r="I136" s="15">
        <v>3</v>
      </c>
      <c r="J136" s="15">
        <v>-5</v>
      </c>
      <c r="K136" s="10" t="s">
        <v>116</v>
      </c>
      <c r="L136" s="11">
        <v>1860</v>
      </c>
    </row>
    <row r="137" spans="1:12">
      <c r="A137" s="10" t="s">
        <v>29</v>
      </c>
      <c r="B137" s="10" t="s">
        <v>213</v>
      </c>
      <c r="C137" s="15">
        <v>1</v>
      </c>
      <c r="D137" s="10" t="s">
        <v>76</v>
      </c>
      <c r="E137" s="15">
        <v>9550</v>
      </c>
      <c r="F137" s="4">
        <v>46063</v>
      </c>
      <c r="G137" s="4">
        <v>46066</v>
      </c>
      <c r="H137" s="4">
        <v>46063</v>
      </c>
      <c r="I137" s="15">
        <v>3</v>
      </c>
      <c r="J137" s="15">
        <v>3</v>
      </c>
      <c r="K137" s="10" t="s">
        <v>116</v>
      </c>
      <c r="L137" s="11">
        <v>22920</v>
      </c>
    </row>
    <row r="138" spans="1:12">
      <c r="A138" s="10" t="s">
        <v>28</v>
      </c>
      <c r="B138" s="10" t="s">
        <v>181</v>
      </c>
      <c r="C138" s="15">
        <v>1</v>
      </c>
      <c r="D138" s="10" t="s">
        <v>87</v>
      </c>
      <c r="E138" s="15">
        <v>15600</v>
      </c>
      <c r="F138" s="4">
        <v>45993</v>
      </c>
      <c r="G138" s="4">
        <v>45996</v>
      </c>
      <c r="H138" s="10"/>
      <c r="I138" s="15">
        <v>3</v>
      </c>
      <c r="J138" s="10"/>
      <c r="K138" s="10" t="s">
        <v>116</v>
      </c>
      <c r="L138" s="11">
        <v>8580</v>
      </c>
    </row>
    <row r="139" spans="1:12">
      <c r="A139" s="10" t="s">
        <v>28</v>
      </c>
      <c r="B139" s="10" t="s">
        <v>214</v>
      </c>
      <c r="C139" s="15">
        <v>2</v>
      </c>
      <c r="D139" s="10" t="s">
        <v>87</v>
      </c>
      <c r="E139" s="15">
        <v>5700</v>
      </c>
      <c r="F139" s="4">
        <v>46021</v>
      </c>
      <c r="G139" s="4">
        <v>46024</v>
      </c>
      <c r="H139" s="4">
        <v>46022</v>
      </c>
      <c r="I139" s="15">
        <v>3</v>
      </c>
      <c r="J139" s="15">
        <v>2</v>
      </c>
      <c r="K139" s="10" t="s">
        <v>116</v>
      </c>
      <c r="L139" s="11">
        <v>3135</v>
      </c>
    </row>
    <row r="140" spans="1:12">
      <c r="A140" s="10" t="s">
        <v>28</v>
      </c>
      <c r="B140" s="10" t="s">
        <v>114</v>
      </c>
      <c r="C140" s="15">
        <v>2</v>
      </c>
      <c r="D140" s="10" t="s">
        <v>79</v>
      </c>
      <c r="E140" s="15">
        <v>7200</v>
      </c>
      <c r="F140" s="4">
        <v>46128</v>
      </c>
      <c r="G140" s="4">
        <v>46131</v>
      </c>
      <c r="H140" s="4">
        <v>46131</v>
      </c>
      <c r="I140" s="15">
        <v>3</v>
      </c>
      <c r="J140" s="15">
        <v>0</v>
      </c>
      <c r="K140" s="10" t="s">
        <v>116</v>
      </c>
      <c r="L140" s="11">
        <v>2952</v>
      </c>
    </row>
    <row r="141" spans="1:12">
      <c r="A141" s="10" t="s">
        <v>28</v>
      </c>
      <c r="B141" s="10" t="s">
        <v>215</v>
      </c>
      <c r="C141" s="15">
        <v>2</v>
      </c>
      <c r="D141" s="10" t="s">
        <v>183</v>
      </c>
      <c r="E141" s="15">
        <v>4000</v>
      </c>
      <c r="F141" s="4">
        <v>46007</v>
      </c>
      <c r="G141" s="4">
        <v>46010</v>
      </c>
      <c r="H141" s="4">
        <v>46007</v>
      </c>
      <c r="I141" s="15">
        <v>3</v>
      </c>
      <c r="J141" s="15">
        <v>3</v>
      </c>
      <c r="K141" s="10" t="s">
        <v>116</v>
      </c>
      <c r="L141" s="11">
        <v>3440</v>
      </c>
    </row>
    <row r="142" spans="1:12">
      <c r="A142" s="10" t="s">
        <v>28</v>
      </c>
      <c r="B142" s="10" t="s">
        <v>216</v>
      </c>
      <c r="C142" s="15">
        <v>1</v>
      </c>
      <c r="D142" s="10" t="s">
        <v>79</v>
      </c>
      <c r="E142" s="15">
        <v>14000</v>
      </c>
      <c r="F142" s="4">
        <v>46093</v>
      </c>
      <c r="G142" s="4">
        <v>46096</v>
      </c>
      <c r="H142" s="4">
        <v>46093</v>
      </c>
      <c r="I142" s="15">
        <v>3</v>
      </c>
      <c r="J142" s="15">
        <v>3</v>
      </c>
      <c r="K142" s="10" t="s">
        <v>116</v>
      </c>
      <c r="L142" s="11">
        <v>5740</v>
      </c>
    </row>
    <row r="143" spans="1:12">
      <c r="A143" s="10" t="s">
        <v>28</v>
      </c>
      <c r="B143" s="10" t="s">
        <v>217</v>
      </c>
      <c r="C143" s="15">
        <v>1</v>
      </c>
      <c r="D143" s="10" t="s">
        <v>87</v>
      </c>
      <c r="E143" s="15">
        <v>22200</v>
      </c>
      <c r="F143" s="4">
        <v>45940</v>
      </c>
      <c r="G143" s="4">
        <v>45943</v>
      </c>
      <c r="H143" s="4">
        <v>45943</v>
      </c>
      <c r="I143" s="15">
        <v>3</v>
      </c>
      <c r="J143" s="15">
        <v>0</v>
      </c>
      <c r="K143" s="10" t="s">
        <v>116</v>
      </c>
      <c r="L143" s="11">
        <v>12210</v>
      </c>
    </row>
    <row r="144" spans="1:12">
      <c r="A144" s="10" t="s">
        <v>28</v>
      </c>
      <c r="B144" s="10" t="s">
        <v>217</v>
      </c>
      <c r="C144" s="15">
        <v>2</v>
      </c>
      <c r="D144" s="10" t="s">
        <v>183</v>
      </c>
      <c r="E144" s="15">
        <v>12300</v>
      </c>
      <c r="F144" s="4">
        <v>45940</v>
      </c>
      <c r="G144" s="4">
        <v>45943</v>
      </c>
      <c r="H144" s="4">
        <v>45940</v>
      </c>
      <c r="I144" s="15">
        <v>3</v>
      </c>
      <c r="J144" s="15">
        <v>3</v>
      </c>
      <c r="K144" s="10" t="s">
        <v>116</v>
      </c>
      <c r="L144" s="11">
        <v>10578</v>
      </c>
    </row>
    <row r="145" spans="1:12">
      <c r="A145" s="10" t="s">
        <v>28</v>
      </c>
      <c r="B145" s="10" t="s">
        <v>218</v>
      </c>
      <c r="C145" s="15">
        <v>2</v>
      </c>
      <c r="D145" s="10" t="s">
        <v>102</v>
      </c>
      <c r="E145" s="15">
        <v>21500</v>
      </c>
      <c r="F145" s="4">
        <v>46079</v>
      </c>
      <c r="G145" s="4">
        <v>46082</v>
      </c>
      <c r="H145" s="4">
        <v>46079</v>
      </c>
      <c r="I145" s="15">
        <v>3</v>
      </c>
      <c r="J145" s="15">
        <v>3</v>
      </c>
      <c r="K145" s="10" t="s">
        <v>116</v>
      </c>
      <c r="L145" s="11">
        <v>13330</v>
      </c>
    </row>
    <row r="146" spans="1:12">
      <c r="A146" s="10" t="s">
        <v>28</v>
      </c>
      <c r="B146" s="10" t="s">
        <v>219</v>
      </c>
      <c r="C146" s="15">
        <v>1</v>
      </c>
      <c r="D146" s="10" t="s">
        <v>102</v>
      </c>
      <c r="E146" s="15">
        <v>1500</v>
      </c>
      <c r="F146" s="4">
        <v>46132</v>
      </c>
      <c r="G146" s="4">
        <v>46135</v>
      </c>
      <c r="H146" s="4">
        <v>46135</v>
      </c>
      <c r="I146" s="15">
        <v>3</v>
      </c>
      <c r="J146" s="15">
        <v>0</v>
      </c>
      <c r="K146" s="10" t="s">
        <v>116</v>
      </c>
      <c r="L146" s="11">
        <v>930</v>
      </c>
    </row>
    <row r="147" spans="1:12">
      <c r="A147" s="10" t="s">
        <v>28</v>
      </c>
      <c r="B147" s="10" t="s">
        <v>220</v>
      </c>
      <c r="C147" s="15">
        <v>1</v>
      </c>
      <c r="D147" s="10" t="s">
        <v>87</v>
      </c>
      <c r="E147" s="15">
        <v>10900</v>
      </c>
      <c r="F147" s="4">
        <v>46148</v>
      </c>
      <c r="G147" s="4">
        <v>46151</v>
      </c>
      <c r="H147" s="10"/>
      <c r="I147" s="15">
        <v>3</v>
      </c>
      <c r="J147" s="10"/>
      <c r="K147" s="10" t="s">
        <v>116</v>
      </c>
      <c r="L147" s="11">
        <v>5995</v>
      </c>
    </row>
    <row r="148" spans="1:12">
      <c r="A148" s="10" t="s">
        <v>31</v>
      </c>
      <c r="B148" s="10" t="s">
        <v>221</v>
      </c>
      <c r="C148" s="15">
        <v>1</v>
      </c>
      <c r="D148" s="10" t="s">
        <v>110</v>
      </c>
      <c r="E148" s="15">
        <v>8950</v>
      </c>
      <c r="F148" s="4">
        <v>45940</v>
      </c>
      <c r="G148" s="4">
        <v>45943</v>
      </c>
      <c r="H148" s="10"/>
      <c r="I148" s="15">
        <v>3</v>
      </c>
      <c r="J148" s="10"/>
      <c r="K148" s="10" t="s">
        <v>116</v>
      </c>
      <c r="L148" s="11">
        <v>984.5</v>
      </c>
    </row>
    <row r="149" spans="1:12">
      <c r="A149" s="10" t="s">
        <v>31</v>
      </c>
      <c r="B149" s="10" t="s">
        <v>222</v>
      </c>
      <c r="C149" s="15">
        <v>1</v>
      </c>
      <c r="D149" s="10" t="s">
        <v>110</v>
      </c>
      <c r="E149" s="15">
        <v>6650</v>
      </c>
      <c r="F149" s="4">
        <v>46028</v>
      </c>
      <c r="G149" s="4">
        <v>46031</v>
      </c>
      <c r="H149" s="4">
        <v>46028</v>
      </c>
      <c r="I149" s="15">
        <v>3</v>
      </c>
      <c r="J149" s="15">
        <v>3</v>
      </c>
      <c r="K149" s="10" t="s">
        <v>116</v>
      </c>
      <c r="L149" s="11">
        <v>731.5</v>
      </c>
    </row>
    <row r="150" spans="1:12">
      <c r="A150" s="10" t="s">
        <v>30</v>
      </c>
      <c r="B150" s="10" t="s">
        <v>223</v>
      </c>
      <c r="C150" s="15">
        <v>1</v>
      </c>
      <c r="D150" s="10" t="s">
        <v>194</v>
      </c>
      <c r="E150" s="15">
        <v>57</v>
      </c>
      <c r="F150" s="4">
        <v>46031</v>
      </c>
      <c r="G150" s="4">
        <v>46034</v>
      </c>
      <c r="H150" s="4">
        <v>46031</v>
      </c>
      <c r="I150" s="15">
        <v>3</v>
      </c>
      <c r="J150" s="15">
        <v>3</v>
      </c>
      <c r="K150" s="10" t="s">
        <v>116</v>
      </c>
      <c r="L150" s="11">
        <v>70680</v>
      </c>
    </row>
    <row r="151" spans="1:12">
      <c r="A151" s="10" t="s">
        <v>30</v>
      </c>
      <c r="B151" s="10" t="s">
        <v>224</v>
      </c>
      <c r="C151" s="15">
        <v>2</v>
      </c>
      <c r="D151" s="10" t="s">
        <v>194</v>
      </c>
      <c r="E151" s="15">
        <v>19</v>
      </c>
      <c r="F151" s="4">
        <v>46043</v>
      </c>
      <c r="G151" s="4">
        <v>46046</v>
      </c>
      <c r="H151" s="4">
        <v>46044</v>
      </c>
      <c r="I151" s="15">
        <v>3</v>
      </c>
      <c r="J151" s="15">
        <v>2</v>
      </c>
      <c r="K151" s="10" t="s">
        <v>116</v>
      </c>
      <c r="L151" s="11">
        <v>23560</v>
      </c>
    </row>
    <row r="152" spans="1:12">
      <c r="A152" s="10" t="s">
        <v>30</v>
      </c>
      <c r="B152" s="10" t="s">
        <v>225</v>
      </c>
      <c r="C152" s="15">
        <v>3</v>
      </c>
      <c r="D152" s="10" t="s">
        <v>194</v>
      </c>
      <c r="E152" s="15">
        <v>34</v>
      </c>
      <c r="F152" s="4">
        <v>45978</v>
      </c>
      <c r="G152" s="4">
        <v>45981</v>
      </c>
      <c r="H152" s="4">
        <v>45978</v>
      </c>
      <c r="I152" s="15">
        <v>3</v>
      </c>
      <c r="J152" s="15">
        <v>3</v>
      </c>
      <c r="K152" s="10" t="s">
        <v>116</v>
      </c>
      <c r="L152" s="11">
        <v>42160</v>
      </c>
    </row>
    <row r="153" spans="1:12">
      <c r="A153" s="10" t="s">
        <v>30</v>
      </c>
      <c r="B153" s="10" t="s">
        <v>226</v>
      </c>
      <c r="C153" s="15">
        <v>1</v>
      </c>
      <c r="D153" s="10" t="s">
        <v>208</v>
      </c>
      <c r="E153" s="15">
        <v>59</v>
      </c>
      <c r="F153" s="4">
        <v>46122</v>
      </c>
      <c r="G153" s="4">
        <v>46125</v>
      </c>
      <c r="H153" s="4">
        <v>46122</v>
      </c>
      <c r="I153" s="15">
        <v>3</v>
      </c>
      <c r="J153" s="15">
        <v>3</v>
      </c>
      <c r="K153" s="10" t="s">
        <v>116</v>
      </c>
      <c r="L153" s="11">
        <v>1073.8</v>
      </c>
    </row>
    <row r="154" spans="1:12">
      <c r="A154" s="10" t="s">
        <v>27</v>
      </c>
      <c r="B154" s="10" t="s">
        <v>227</v>
      </c>
      <c r="C154" s="15">
        <v>1</v>
      </c>
      <c r="D154" s="10" t="s">
        <v>136</v>
      </c>
      <c r="E154" s="15">
        <v>1800</v>
      </c>
      <c r="F154" s="4">
        <v>45945</v>
      </c>
      <c r="G154" s="4">
        <v>45947</v>
      </c>
      <c r="H154" s="4">
        <v>45945</v>
      </c>
      <c r="I154" s="15">
        <v>2</v>
      </c>
      <c r="J154" s="15">
        <v>2</v>
      </c>
      <c r="K154" s="10" t="s">
        <v>116</v>
      </c>
      <c r="L154" s="11">
        <v>7056</v>
      </c>
    </row>
    <row r="155" spans="1:12">
      <c r="A155" s="10" t="s">
        <v>27</v>
      </c>
      <c r="B155" s="10" t="s">
        <v>228</v>
      </c>
      <c r="C155" s="15">
        <v>1</v>
      </c>
      <c r="D155" s="10" t="s">
        <v>108</v>
      </c>
      <c r="E155" s="15">
        <v>11800</v>
      </c>
      <c r="F155" s="4">
        <v>46101</v>
      </c>
      <c r="G155" s="4">
        <v>46103</v>
      </c>
      <c r="H155" s="4">
        <v>46101</v>
      </c>
      <c r="I155" s="15">
        <v>2</v>
      </c>
      <c r="J155" s="15">
        <v>2</v>
      </c>
      <c r="K155" s="10" t="s">
        <v>116</v>
      </c>
      <c r="L155" s="11">
        <v>55578</v>
      </c>
    </row>
    <row r="156" spans="1:12">
      <c r="A156" s="10" t="s">
        <v>27</v>
      </c>
      <c r="B156" s="10" t="s">
        <v>229</v>
      </c>
      <c r="C156" s="15">
        <v>1</v>
      </c>
      <c r="D156" s="10" t="s">
        <v>136</v>
      </c>
      <c r="E156" s="15">
        <v>23400</v>
      </c>
      <c r="F156" s="4">
        <v>46058</v>
      </c>
      <c r="G156" s="4">
        <v>46060</v>
      </c>
      <c r="H156" s="4">
        <v>46058</v>
      </c>
      <c r="I156" s="15">
        <v>2</v>
      </c>
      <c r="J156" s="15">
        <v>2</v>
      </c>
      <c r="K156" s="10" t="s">
        <v>116</v>
      </c>
      <c r="L156" s="11">
        <v>91728</v>
      </c>
    </row>
    <row r="157" spans="1:12">
      <c r="A157" s="10" t="s">
        <v>27</v>
      </c>
      <c r="B157" s="10" t="s">
        <v>230</v>
      </c>
      <c r="C157" s="15">
        <v>1</v>
      </c>
      <c r="D157" s="10" t="s">
        <v>108</v>
      </c>
      <c r="E157" s="15">
        <v>22400</v>
      </c>
      <c r="F157" s="4">
        <v>46045</v>
      </c>
      <c r="G157" s="4">
        <v>46047</v>
      </c>
      <c r="H157" s="4">
        <v>46047</v>
      </c>
      <c r="I157" s="15">
        <v>2</v>
      </c>
      <c r="J157" s="15">
        <v>0</v>
      </c>
      <c r="K157" s="10" t="s">
        <v>116</v>
      </c>
      <c r="L157" s="11">
        <v>105504</v>
      </c>
    </row>
    <row r="158" spans="1:12">
      <c r="A158" s="10" t="s">
        <v>27</v>
      </c>
      <c r="B158" s="10" t="s">
        <v>231</v>
      </c>
      <c r="C158" s="15">
        <v>1</v>
      </c>
      <c r="D158" s="10" t="s">
        <v>136</v>
      </c>
      <c r="E158" s="15">
        <v>2300</v>
      </c>
      <c r="F158" s="4">
        <v>46111</v>
      </c>
      <c r="G158" s="4">
        <v>46113</v>
      </c>
      <c r="H158" s="4">
        <v>46111</v>
      </c>
      <c r="I158" s="15">
        <v>2</v>
      </c>
      <c r="J158" s="15">
        <v>2</v>
      </c>
      <c r="K158" s="10" t="s">
        <v>116</v>
      </c>
      <c r="L158" s="11">
        <v>9016</v>
      </c>
    </row>
    <row r="159" spans="1:12">
      <c r="A159" s="10" t="s">
        <v>27</v>
      </c>
      <c r="B159" s="10" t="s">
        <v>232</v>
      </c>
      <c r="C159" s="15">
        <v>1</v>
      </c>
      <c r="D159" s="10" t="s">
        <v>136</v>
      </c>
      <c r="E159" s="15">
        <v>7100</v>
      </c>
      <c r="F159" s="4">
        <v>45960</v>
      </c>
      <c r="G159" s="4">
        <v>45962</v>
      </c>
      <c r="H159" s="4">
        <v>45960</v>
      </c>
      <c r="I159" s="15">
        <v>2</v>
      </c>
      <c r="J159" s="15">
        <v>2</v>
      </c>
      <c r="K159" s="10" t="s">
        <v>116</v>
      </c>
      <c r="L159" s="11">
        <v>27832</v>
      </c>
    </row>
    <row r="160" spans="1:12">
      <c r="A160" s="10" t="s">
        <v>27</v>
      </c>
      <c r="B160" s="10" t="s">
        <v>233</v>
      </c>
      <c r="C160" s="15">
        <v>1</v>
      </c>
      <c r="D160" s="10" t="s">
        <v>136</v>
      </c>
      <c r="E160" s="15">
        <v>13400</v>
      </c>
      <c r="F160" s="4">
        <v>46119</v>
      </c>
      <c r="G160" s="4">
        <v>46121</v>
      </c>
      <c r="H160" s="4">
        <v>46119</v>
      </c>
      <c r="I160" s="15">
        <v>2</v>
      </c>
      <c r="J160" s="15">
        <v>2</v>
      </c>
      <c r="K160" s="10" t="s">
        <v>116</v>
      </c>
      <c r="L160" s="11">
        <v>52528</v>
      </c>
    </row>
    <row r="161" spans="1:12">
      <c r="A161" s="10" t="s">
        <v>29</v>
      </c>
      <c r="B161" s="10" t="s">
        <v>118</v>
      </c>
      <c r="C161" s="15">
        <v>2</v>
      </c>
      <c r="D161" s="10" t="s">
        <v>89</v>
      </c>
      <c r="E161" s="15">
        <v>7150</v>
      </c>
      <c r="F161" s="4">
        <v>46031</v>
      </c>
      <c r="G161" s="4">
        <v>46033</v>
      </c>
      <c r="H161" s="4">
        <v>46042</v>
      </c>
      <c r="I161" s="15">
        <v>2</v>
      </c>
      <c r="J161" s="15">
        <v>-9</v>
      </c>
      <c r="K161" s="10" t="s">
        <v>116</v>
      </c>
      <c r="L161" s="11">
        <v>22165</v>
      </c>
    </row>
    <row r="162" spans="1:12">
      <c r="A162" s="10" t="s">
        <v>29</v>
      </c>
      <c r="B162" s="10" t="s">
        <v>196</v>
      </c>
      <c r="C162" s="15">
        <v>2</v>
      </c>
      <c r="D162" s="10" t="s">
        <v>76</v>
      </c>
      <c r="E162" s="15">
        <v>4000</v>
      </c>
      <c r="F162" s="4">
        <v>46155</v>
      </c>
      <c r="G162" s="4">
        <v>46157</v>
      </c>
      <c r="H162" s="10"/>
      <c r="I162" s="15">
        <v>2</v>
      </c>
      <c r="J162" s="10"/>
      <c r="K162" s="10" t="s">
        <v>116</v>
      </c>
      <c r="L162" s="11">
        <v>9600</v>
      </c>
    </row>
    <row r="163" spans="1:12">
      <c r="A163" s="10" t="s">
        <v>29</v>
      </c>
      <c r="B163" s="10" t="s">
        <v>167</v>
      </c>
      <c r="C163" s="15">
        <v>2</v>
      </c>
      <c r="D163" s="10" t="s">
        <v>119</v>
      </c>
      <c r="E163" s="15">
        <v>2300</v>
      </c>
      <c r="F163" s="4">
        <v>46147</v>
      </c>
      <c r="G163" s="4">
        <v>46149</v>
      </c>
      <c r="H163" s="10"/>
      <c r="I163" s="15">
        <v>2</v>
      </c>
      <c r="J163" s="10"/>
      <c r="K163" s="10" t="s">
        <v>116</v>
      </c>
      <c r="L163" s="11">
        <v>3680</v>
      </c>
    </row>
    <row r="164" spans="1:12">
      <c r="A164" s="10" t="s">
        <v>29</v>
      </c>
      <c r="B164" s="10" t="s">
        <v>120</v>
      </c>
      <c r="C164" s="15">
        <v>1</v>
      </c>
      <c r="D164" s="10" t="s">
        <v>76</v>
      </c>
      <c r="E164" s="15">
        <v>2500</v>
      </c>
      <c r="F164" s="4">
        <v>45999</v>
      </c>
      <c r="G164" s="4">
        <v>46001</v>
      </c>
      <c r="H164" s="4">
        <v>46010</v>
      </c>
      <c r="I164" s="15">
        <v>2</v>
      </c>
      <c r="J164" s="15">
        <v>-9</v>
      </c>
      <c r="K164" s="10" t="s">
        <v>116</v>
      </c>
      <c r="L164" s="11">
        <v>6000</v>
      </c>
    </row>
    <row r="165" spans="1:12">
      <c r="A165" s="10" t="s">
        <v>29</v>
      </c>
      <c r="B165" s="10" t="s">
        <v>234</v>
      </c>
      <c r="C165" s="15">
        <v>1</v>
      </c>
      <c r="D165" s="10" t="s">
        <v>119</v>
      </c>
      <c r="E165" s="15">
        <v>5800</v>
      </c>
      <c r="F165" s="4">
        <v>46157</v>
      </c>
      <c r="G165" s="10"/>
      <c r="H165" s="10"/>
      <c r="I165" s="15">
        <v>2</v>
      </c>
      <c r="J165" s="10"/>
      <c r="K165" s="10" t="s">
        <v>72</v>
      </c>
      <c r="L165" s="11">
        <v>0</v>
      </c>
    </row>
    <row r="166" spans="1:12">
      <c r="A166" s="10" t="s">
        <v>29</v>
      </c>
      <c r="B166" s="10" t="s">
        <v>235</v>
      </c>
      <c r="C166" s="15">
        <v>1</v>
      </c>
      <c r="D166" s="10" t="s">
        <v>76</v>
      </c>
      <c r="E166" s="15">
        <v>5950</v>
      </c>
      <c r="F166" s="4">
        <v>45971</v>
      </c>
      <c r="G166" s="4">
        <v>45973</v>
      </c>
      <c r="H166" s="4">
        <v>45981</v>
      </c>
      <c r="I166" s="15">
        <v>2</v>
      </c>
      <c r="J166" s="15">
        <v>-8</v>
      </c>
      <c r="K166" s="10" t="s">
        <v>116</v>
      </c>
      <c r="L166" s="11">
        <v>14280</v>
      </c>
    </row>
    <row r="167" spans="1:12">
      <c r="A167" s="10" t="s">
        <v>29</v>
      </c>
      <c r="B167" s="10" t="s">
        <v>236</v>
      </c>
      <c r="C167" s="15">
        <v>1</v>
      </c>
      <c r="D167" s="10" t="s">
        <v>89</v>
      </c>
      <c r="E167" s="15">
        <v>8050</v>
      </c>
      <c r="F167" s="4">
        <v>46001</v>
      </c>
      <c r="G167" s="4">
        <v>46003</v>
      </c>
      <c r="H167" s="4">
        <v>46009</v>
      </c>
      <c r="I167" s="15">
        <v>2</v>
      </c>
      <c r="J167" s="15">
        <v>-6</v>
      </c>
      <c r="K167" s="10" t="s">
        <v>116</v>
      </c>
      <c r="L167" s="11">
        <v>24955</v>
      </c>
    </row>
    <row r="168" spans="1:12">
      <c r="A168" s="10" t="s">
        <v>28</v>
      </c>
      <c r="B168" s="10" t="s">
        <v>237</v>
      </c>
      <c r="C168" s="15">
        <v>2</v>
      </c>
      <c r="D168" s="10" t="s">
        <v>102</v>
      </c>
      <c r="E168" s="15">
        <v>9300</v>
      </c>
      <c r="F168" s="4">
        <v>45979</v>
      </c>
      <c r="G168" s="4">
        <v>45981</v>
      </c>
      <c r="H168" s="4">
        <v>45979</v>
      </c>
      <c r="I168" s="15">
        <v>2</v>
      </c>
      <c r="J168" s="15">
        <v>2</v>
      </c>
      <c r="K168" s="10" t="s">
        <v>116</v>
      </c>
      <c r="L168" s="11">
        <v>5766</v>
      </c>
    </row>
    <row r="169" spans="1:12">
      <c r="A169" s="10" t="s">
        <v>28</v>
      </c>
      <c r="B169" s="10" t="s">
        <v>238</v>
      </c>
      <c r="C169" s="15">
        <v>1</v>
      </c>
      <c r="D169" s="10" t="s">
        <v>183</v>
      </c>
      <c r="E169" s="15">
        <v>13600</v>
      </c>
      <c r="F169" s="4">
        <v>46125</v>
      </c>
      <c r="G169" s="4">
        <v>46127</v>
      </c>
      <c r="H169" s="4">
        <v>46127</v>
      </c>
      <c r="I169" s="15">
        <v>2</v>
      </c>
      <c r="J169" s="15">
        <v>0</v>
      </c>
      <c r="K169" s="10" t="s">
        <v>116</v>
      </c>
      <c r="L169" s="11">
        <v>11696</v>
      </c>
    </row>
    <row r="170" spans="1:12">
      <c r="A170" s="10" t="s">
        <v>28</v>
      </c>
      <c r="B170" s="10" t="s">
        <v>239</v>
      </c>
      <c r="C170" s="15">
        <v>2</v>
      </c>
      <c r="D170" s="10" t="s">
        <v>102</v>
      </c>
      <c r="E170" s="15">
        <v>18300</v>
      </c>
      <c r="F170" s="4">
        <v>46142</v>
      </c>
      <c r="G170" s="4">
        <v>46144</v>
      </c>
      <c r="H170" s="4">
        <v>46142</v>
      </c>
      <c r="I170" s="15">
        <v>2</v>
      </c>
      <c r="J170" s="15">
        <v>2</v>
      </c>
      <c r="K170" s="10" t="s">
        <v>116</v>
      </c>
      <c r="L170" s="11">
        <v>11346</v>
      </c>
    </row>
    <row r="171" spans="1:12">
      <c r="A171" s="10" t="s">
        <v>28</v>
      </c>
      <c r="B171" s="10" t="s">
        <v>240</v>
      </c>
      <c r="C171" s="15">
        <v>2</v>
      </c>
      <c r="D171" s="10" t="s">
        <v>183</v>
      </c>
      <c r="E171" s="15">
        <v>7700</v>
      </c>
      <c r="F171" s="4">
        <v>46003</v>
      </c>
      <c r="G171" s="4">
        <v>46005</v>
      </c>
      <c r="H171" s="4">
        <v>46008</v>
      </c>
      <c r="I171" s="15">
        <v>2</v>
      </c>
      <c r="J171" s="15">
        <v>-3</v>
      </c>
      <c r="K171" s="10" t="s">
        <v>116</v>
      </c>
      <c r="L171" s="11">
        <v>6622</v>
      </c>
    </row>
    <row r="172" spans="1:12">
      <c r="A172" s="10" t="s">
        <v>28</v>
      </c>
      <c r="B172" s="10" t="s">
        <v>241</v>
      </c>
      <c r="C172" s="15">
        <v>1</v>
      </c>
      <c r="D172" s="10" t="s">
        <v>183</v>
      </c>
      <c r="E172" s="15">
        <v>800</v>
      </c>
      <c r="F172" s="4">
        <v>46009</v>
      </c>
      <c r="G172" s="4">
        <v>46011</v>
      </c>
      <c r="H172" s="4">
        <v>46013</v>
      </c>
      <c r="I172" s="15">
        <v>2</v>
      </c>
      <c r="J172" s="15">
        <v>-2</v>
      </c>
      <c r="K172" s="10" t="s">
        <v>116</v>
      </c>
      <c r="L172" s="11">
        <v>688</v>
      </c>
    </row>
    <row r="173" spans="1:12">
      <c r="A173" s="10" t="s">
        <v>28</v>
      </c>
      <c r="B173" s="10" t="s">
        <v>242</v>
      </c>
      <c r="C173" s="15">
        <v>3</v>
      </c>
      <c r="D173" s="10" t="s">
        <v>87</v>
      </c>
      <c r="E173" s="15">
        <v>22700</v>
      </c>
      <c r="F173" s="4">
        <v>46028</v>
      </c>
      <c r="G173" s="4">
        <v>46030</v>
      </c>
      <c r="H173" s="4">
        <v>46028</v>
      </c>
      <c r="I173" s="15">
        <v>2</v>
      </c>
      <c r="J173" s="15">
        <v>2</v>
      </c>
      <c r="K173" s="10" t="s">
        <v>116</v>
      </c>
      <c r="L173" s="11">
        <v>12485</v>
      </c>
    </row>
    <row r="174" spans="1:12">
      <c r="A174" s="10" t="s">
        <v>28</v>
      </c>
      <c r="B174" s="10" t="s">
        <v>243</v>
      </c>
      <c r="C174" s="15">
        <v>2</v>
      </c>
      <c r="D174" s="10" t="s">
        <v>74</v>
      </c>
      <c r="E174" s="15">
        <v>11000</v>
      </c>
      <c r="F174" s="4">
        <v>46093</v>
      </c>
      <c r="G174" s="4">
        <v>46095</v>
      </c>
      <c r="H174" s="4">
        <v>46093</v>
      </c>
      <c r="I174" s="15">
        <v>2</v>
      </c>
      <c r="J174" s="15">
        <v>2</v>
      </c>
      <c r="K174" s="10" t="s">
        <v>116</v>
      </c>
      <c r="L174" s="11">
        <v>9240</v>
      </c>
    </row>
    <row r="175" spans="1:12">
      <c r="A175" s="10" t="s">
        <v>28</v>
      </c>
      <c r="B175" s="10" t="s">
        <v>244</v>
      </c>
      <c r="C175" s="15">
        <v>2</v>
      </c>
      <c r="D175" s="10" t="s">
        <v>74</v>
      </c>
      <c r="E175" s="15">
        <v>11000</v>
      </c>
      <c r="F175" s="4">
        <v>46146</v>
      </c>
      <c r="G175" s="4">
        <v>46148</v>
      </c>
      <c r="H175" s="10"/>
      <c r="I175" s="15">
        <v>2</v>
      </c>
      <c r="J175" s="10"/>
      <c r="K175" s="10" t="s">
        <v>116</v>
      </c>
      <c r="L175" s="11">
        <v>9240</v>
      </c>
    </row>
    <row r="176" spans="1:12">
      <c r="A176" s="10" t="s">
        <v>28</v>
      </c>
      <c r="B176" s="10" t="s">
        <v>245</v>
      </c>
      <c r="C176" s="15">
        <v>1</v>
      </c>
      <c r="D176" s="10" t="s">
        <v>102</v>
      </c>
      <c r="E176" s="15">
        <v>23900</v>
      </c>
      <c r="F176" s="4">
        <v>46037</v>
      </c>
      <c r="G176" s="4">
        <v>46039</v>
      </c>
      <c r="H176" s="4">
        <v>46043</v>
      </c>
      <c r="I176" s="15">
        <v>2</v>
      </c>
      <c r="J176" s="15">
        <v>-4</v>
      </c>
      <c r="K176" s="10" t="s">
        <v>116</v>
      </c>
      <c r="L176" s="11">
        <v>14818</v>
      </c>
    </row>
    <row r="177" spans="1:12">
      <c r="A177" s="10" t="s">
        <v>28</v>
      </c>
      <c r="B177" s="10" t="s">
        <v>246</v>
      </c>
      <c r="C177" s="15">
        <v>1</v>
      </c>
      <c r="D177" s="10" t="s">
        <v>74</v>
      </c>
      <c r="E177" s="15">
        <v>17100</v>
      </c>
      <c r="F177" s="4">
        <v>45978</v>
      </c>
      <c r="G177" s="4">
        <v>45980</v>
      </c>
      <c r="H177" s="4">
        <v>45978</v>
      </c>
      <c r="I177" s="15">
        <v>2</v>
      </c>
      <c r="J177" s="15">
        <v>2</v>
      </c>
      <c r="K177" s="10" t="s">
        <v>116</v>
      </c>
      <c r="L177" s="11">
        <v>14364</v>
      </c>
    </row>
    <row r="178" spans="1:12">
      <c r="A178" s="10" t="s">
        <v>28</v>
      </c>
      <c r="B178" s="10" t="s">
        <v>247</v>
      </c>
      <c r="C178" s="15">
        <v>2</v>
      </c>
      <c r="D178" s="10" t="s">
        <v>183</v>
      </c>
      <c r="E178" s="15">
        <v>18300</v>
      </c>
      <c r="F178" s="4">
        <v>45968</v>
      </c>
      <c r="G178" s="4">
        <v>45970</v>
      </c>
      <c r="H178" s="4">
        <v>45968</v>
      </c>
      <c r="I178" s="15">
        <v>2</v>
      </c>
      <c r="J178" s="15">
        <v>2</v>
      </c>
      <c r="K178" s="10" t="s">
        <v>116</v>
      </c>
      <c r="L178" s="11">
        <v>15738</v>
      </c>
    </row>
    <row r="179" spans="1:12">
      <c r="A179" s="10" t="s">
        <v>28</v>
      </c>
      <c r="B179" s="10" t="s">
        <v>219</v>
      </c>
      <c r="C179" s="15">
        <v>2</v>
      </c>
      <c r="D179" s="10" t="s">
        <v>87</v>
      </c>
      <c r="E179" s="15">
        <v>11700</v>
      </c>
      <c r="F179" s="4">
        <v>46132</v>
      </c>
      <c r="G179" s="4">
        <v>46134</v>
      </c>
      <c r="H179" s="4">
        <v>46132</v>
      </c>
      <c r="I179" s="15">
        <v>2</v>
      </c>
      <c r="J179" s="15">
        <v>2</v>
      </c>
      <c r="K179" s="10" t="s">
        <v>116</v>
      </c>
      <c r="L179" s="11">
        <v>6435</v>
      </c>
    </row>
    <row r="180" spans="1:12">
      <c r="A180" s="10" t="s">
        <v>28</v>
      </c>
      <c r="B180" s="10" t="s">
        <v>220</v>
      </c>
      <c r="C180" s="15">
        <v>3</v>
      </c>
      <c r="D180" s="10" t="s">
        <v>183</v>
      </c>
      <c r="E180" s="15">
        <v>22100</v>
      </c>
      <c r="F180" s="4">
        <v>46148</v>
      </c>
      <c r="G180" s="4">
        <v>46150</v>
      </c>
      <c r="H180" s="10"/>
      <c r="I180" s="15">
        <v>2</v>
      </c>
      <c r="J180" s="10"/>
      <c r="K180" s="10" t="s">
        <v>116</v>
      </c>
      <c r="L180" s="11">
        <v>19006</v>
      </c>
    </row>
    <row r="181" spans="1:12">
      <c r="A181" s="10" t="s">
        <v>28</v>
      </c>
      <c r="B181" s="10" t="s">
        <v>248</v>
      </c>
      <c r="C181" s="15">
        <v>1</v>
      </c>
      <c r="D181" s="10" t="s">
        <v>102</v>
      </c>
      <c r="E181" s="15">
        <v>13800</v>
      </c>
      <c r="F181" s="4">
        <v>46036</v>
      </c>
      <c r="G181" s="4">
        <v>46038</v>
      </c>
      <c r="H181" s="4">
        <v>46036</v>
      </c>
      <c r="I181" s="15">
        <v>2</v>
      </c>
      <c r="J181" s="15">
        <v>2</v>
      </c>
      <c r="K181" s="10" t="s">
        <v>116</v>
      </c>
      <c r="L181" s="11">
        <v>8556</v>
      </c>
    </row>
    <row r="182" spans="1:12">
      <c r="A182" s="10" t="s">
        <v>31</v>
      </c>
      <c r="B182" s="10" t="s">
        <v>249</v>
      </c>
      <c r="C182" s="15">
        <v>1</v>
      </c>
      <c r="D182" s="10" t="s">
        <v>85</v>
      </c>
      <c r="E182" s="15">
        <v>9350</v>
      </c>
      <c r="F182" s="4">
        <v>46043</v>
      </c>
      <c r="G182" s="4">
        <v>46045</v>
      </c>
      <c r="H182" s="4">
        <v>46044</v>
      </c>
      <c r="I182" s="15">
        <v>2</v>
      </c>
      <c r="J182" s="15">
        <v>1</v>
      </c>
      <c r="K182" s="10" t="s">
        <v>116</v>
      </c>
      <c r="L182" s="11">
        <v>748</v>
      </c>
    </row>
    <row r="183" spans="1:12">
      <c r="A183" s="10" t="s">
        <v>31</v>
      </c>
      <c r="B183" s="10" t="s">
        <v>250</v>
      </c>
      <c r="C183" s="15">
        <v>1</v>
      </c>
      <c r="D183" s="10" t="s">
        <v>85</v>
      </c>
      <c r="E183" s="15">
        <v>8350</v>
      </c>
      <c r="F183" s="4">
        <v>46157</v>
      </c>
      <c r="G183" s="10"/>
      <c r="H183" s="10"/>
      <c r="I183" s="15">
        <v>2</v>
      </c>
      <c r="J183" s="10"/>
      <c r="K183" s="10" t="s">
        <v>72</v>
      </c>
      <c r="L183" s="11">
        <v>0</v>
      </c>
    </row>
    <row r="184" spans="1:12">
      <c r="A184" s="10" t="s">
        <v>31</v>
      </c>
      <c r="B184" s="10" t="s">
        <v>251</v>
      </c>
      <c r="C184" s="15">
        <v>1</v>
      </c>
      <c r="D184" s="10" t="s">
        <v>110</v>
      </c>
      <c r="E184" s="15">
        <v>5250</v>
      </c>
      <c r="F184" s="4">
        <v>45930</v>
      </c>
      <c r="G184" s="4">
        <v>45932</v>
      </c>
      <c r="H184" s="4">
        <v>45930</v>
      </c>
      <c r="I184" s="15">
        <v>2</v>
      </c>
      <c r="J184" s="15">
        <v>2</v>
      </c>
      <c r="K184" s="10" t="s">
        <v>116</v>
      </c>
      <c r="L184" s="11">
        <v>577.5</v>
      </c>
    </row>
    <row r="185" spans="1:12">
      <c r="A185" s="10" t="s">
        <v>31</v>
      </c>
      <c r="B185" s="10" t="s">
        <v>252</v>
      </c>
      <c r="C185" s="15">
        <v>1</v>
      </c>
      <c r="D185" s="10" t="s">
        <v>110</v>
      </c>
      <c r="E185" s="15">
        <v>9350</v>
      </c>
      <c r="F185" s="4">
        <v>46052</v>
      </c>
      <c r="G185" s="4">
        <v>46054</v>
      </c>
      <c r="H185" s="10"/>
      <c r="I185" s="15">
        <v>2</v>
      </c>
      <c r="J185" s="10"/>
      <c r="K185" s="10" t="s">
        <v>116</v>
      </c>
      <c r="L185" s="11">
        <v>1028.5</v>
      </c>
    </row>
    <row r="186" spans="1:12">
      <c r="A186" s="10" t="s">
        <v>31</v>
      </c>
      <c r="B186" s="10" t="s">
        <v>253</v>
      </c>
      <c r="C186" s="15">
        <v>2</v>
      </c>
      <c r="D186" s="10" t="s">
        <v>85</v>
      </c>
      <c r="E186" s="15">
        <v>3550</v>
      </c>
      <c r="F186" s="4">
        <v>46150</v>
      </c>
      <c r="G186" s="4">
        <v>46152</v>
      </c>
      <c r="H186" s="10"/>
      <c r="I186" s="15">
        <v>2</v>
      </c>
      <c r="J186" s="10"/>
      <c r="K186" s="10" t="s">
        <v>116</v>
      </c>
      <c r="L186" s="11">
        <v>284</v>
      </c>
    </row>
    <row r="187" spans="1:12">
      <c r="A187" s="10" t="s">
        <v>30</v>
      </c>
      <c r="B187" s="10" t="s">
        <v>224</v>
      </c>
      <c r="C187" s="15">
        <v>1</v>
      </c>
      <c r="D187" s="10" t="s">
        <v>185</v>
      </c>
      <c r="E187" s="15">
        <v>42</v>
      </c>
      <c r="F187" s="4">
        <v>46043</v>
      </c>
      <c r="G187" s="4">
        <v>46045</v>
      </c>
      <c r="H187" s="4">
        <v>46043</v>
      </c>
      <c r="I187" s="15">
        <v>2</v>
      </c>
      <c r="J187" s="15">
        <v>2</v>
      </c>
      <c r="K187" s="10" t="s">
        <v>116</v>
      </c>
      <c r="L187" s="11">
        <v>4032</v>
      </c>
    </row>
    <row r="188" spans="1:12">
      <c r="A188" s="10" t="s">
        <v>30</v>
      </c>
      <c r="B188" s="10" t="s">
        <v>254</v>
      </c>
      <c r="C188" s="15">
        <v>1</v>
      </c>
      <c r="D188" s="10" t="s">
        <v>208</v>
      </c>
      <c r="E188" s="15">
        <v>57</v>
      </c>
      <c r="F188" s="4">
        <v>46142</v>
      </c>
      <c r="G188" s="4">
        <v>46144</v>
      </c>
      <c r="H188" s="4">
        <v>46142</v>
      </c>
      <c r="I188" s="15">
        <v>2</v>
      </c>
      <c r="J188" s="15">
        <v>2</v>
      </c>
      <c r="K188" s="10" t="s">
        <v>116</v>
      </c>
      <c r="L188" s="11">
        <v>1037.4</v>
      </c>
    </row>
    <row r="189" spans="1:12">
      <c r="A189" s="10" t="s">
        <v>30</v>
      </c>
      <c r="B189" s="10" t="s">
        <v>255</v>
      </c>
      <c r="C189" s="15">
        <v>1</v>
      </c>
      <c r="D189" s="10" t="s">
        <v>194</v>
      </c>
      <c r="E189" s="15">
        <v>25</v>
      </c>
      <c r="F189" s="4">
        <v>46157</v>
      </c>
      <c r="G189" s="10"/>
      <c r="H189" s="10"/>
      <c r="I189" s="15">
        <v>2</v>
      </c>
      <c r="J189" s="10"/>
      <c r="K189" s="10" t="s">
        <v>72</v>
      </c>
      <c r="L189" s="11">
        <v>0</v>
      </c>
    </row>
    <row r="190" spans="1:12">
      <c r="A190" s="10" t="s">
        <v>30</v>
      </c>
      <c r="B190" s="10" t="s">
        <v>255</v>
      </c>
      <c r="C190" s="15">
        <v>2</v>
      </c>
      <c r="D190" s="10" t="s">
        <v>208</v>
      </c>
      <c r="E190" s="15">
        <v>50</v>
      </c>
      <c r="F190" s="4">
        <v>46157</v>
      </c>
      <c r="G190" s="10"/>
      <c r="H190" s="10"/>
      <c r="I190" s="15">
        <v>2</v>
      </c>
      <c r="J190" s="10"/>
      <c r="K190" s="10" t="s">
        <v>72</v>
      </c>
      <c r="L190" s="11">
        <v>0</v>
      </c>
    </row>
    <row r="191" spans="1:12">
      <c r="A191" s="10" t="s">
        <v>32</v>
      </c>
      <c r="B191" s="10" t="s">
        <v>256</v>
      </c>
      <c r="C191" s="15">
        <v>1</v>
      </c>
      <c r="D191" s="10" t="s">
        <v>83</v>
      </c>
      <c r="E191" s="15">
        <v>500</v>
      </c>
      <c r="F191" s="4">
        <v>46157</v>
      </c>
      <c r="G191" s="10"/>
      <c r="H191" s="10"/>
      <c r="I191" s="15">
        <v>2</v>
      </c>
      <c r="J191" s="10"/>
      <c r="K191" s="10" t="s">
        <v>72</v>
      </c>
      <c r="L191" s="11">
        <v>0</v>
      </c>
    </row>
    <row r="192" spans="1:12">
      <c r="A192" s="10" t="s">
        <v>27</v>
      </c>
      <c r="B192" s="10" t="s">
        <v>257</v>
      </c>
      <c r="C192" s="15">
        <v>1</v>
      </c>
      <c r="D192" s="10" t="s">
        <v>104</v>
      </c>
      <c r="E192" s="15">
        <v>19900</v>
      </c>
      <c r="F192" s="4">
        <v>45958</v>
      </c>
      <c r="G192" s="4">
        <v>45959</v>
      </c>
      <c r="H192" s="4">
        <v>45958</v>
      </c>
      <c r="I192" s="15">
        <v>1</v>
      </c>
      <c r="J192" s="15">
        <v>1</v>
      </c>
      <c r="K192" s="10" t="s">
        <v>116</v>
      </c>
      <c r="L192" s="11">
        <v>56715</v>
      </c>
    </row>
    <row r="193" spans="1:12">
      <c r="A193" s="10" t="s">
        <v>27</v>
      </c>
      <c r="B193" s="10" t="s">
        <v>258</v>
      </c>
      <c r="C193" s="15">
        <v>2</v>
      </c>
      <c r="D193" s="10" t="s">
        <v>108</v>
      </c>
      <c r="E193" s="15">
        <v>6000</v>
      </c>
      <c r="F193" s="4">
        <v>46114</v>
      </c>
      <c r="G193" s="4">
        <v>46115</v>
      </c>
      <c r="H193" s="4">
        <v>46114</v>
      </c>
      <c r="I193" s="15">
        <v>1</v>
      </c>
      <c r="J193" s="15">
        <v>1</v>
      </c>
      <c r="K193" s="10" t="s">
        <v>116</v>
      </c>
      <c r="L193" s="11">
        <v>28260</v>
      </c>
    </row>
    <row r="194" spans="1:12">
      <c r="A194" s="10" t="s">
        <v>27</v>
      </c>
      <c r="B194" s="10" t="s">
        <v>259</v>
      </c>
      <c r="C194" s="15">
        <v>1</v>
      </c>
      <c r="D194" s="10" t="s">
        <v>136</v>
      </c>
      <c r="E194" s="15">
        <v>6600</v>
      </c>
      <c r="F194" s="4">
        <v>46077</v>
      </c>
      <c r="G194" s="4">
        <v>46078</v>
      </c>
      <c r="H194" s="4">
        <v>46078</v>
      </c>
      <c r="I194" s="15">
        <v>1</v>
      </c>
      <c r="J194" s="15">
        <v>0</v>
      </c>
      <c r="K194" s="10" t="s">
        <v>116</v>
      </c>
      <c r="L194" s="11">
        <v>25872</v>
      </c>
    </row>
    <row r="195" spans="1:12">
      <c r="A195" s="10" t="s">
        <v>27</v>
      </c>
      <c r="B195" s="10" t="s">
        <v>260</v>
      </c>
      <c r="C195" s="15">
        <v>2</v>
      </c>
      <c r="D195" s="10" t="s">
        <v>104</v>
      </c>
      <c r="E195" s="15">
        <v>12700</v>
      </c>
      <c r="F195" s="4">
        <v>45952</v>
      </c>
      <c r="G195" s="4">
        <v>45953</v>
      </c>
      <c r="H195" s="4">
        <v>45952</v>
      </c>
      <c r="I195" s="15">
        <v>1</v>
      </c>
      <c r="J195" s="15">
        <v>1</v>
      </c>
      <c r="K195" s="10" t="s">
        <v>116</v>
      </c>
      <c r="L195" s="11">
        <v>36195</v>
      </c>
    </row>
    <row r="196" spans="1:12">
      <c r="A196" s="10" t="s">
        <v>27</v>
      </c>
      <c r="B196" s="10" t="s">
        <v>261</v>
      </c>
      <c r="C196" s="15">
        <v>1</v>
      </c>
      <c r="D196" s="10" t="s">
        <v>105</v>
      </c>
      <c r="E196" s="15">
        <v>13600</v>
      </c>
      <c r="F196" s="4">
        <v>46001</v>
      </c>
      <c r="G196" s="4">
        <v>46002</v>
      </c>
      <c r="H196" s="4">
        <v>46001</v>
      </c>
      <c r="I196" s="15">
        <v>1</v>
      </c>
      <c r="J196" s="15">
        <v>1</v>
      </c>
      <c r="K196" s="10" t="s">
        <v>116</v>
      </c>
      <c r="L196" s="11">
        <v>106624</v>
      </c>
    </row>
    <row r="197" spans="1:12">
      <c r="A197" s="10" t="s">
        <v>27</v>
      </c>
      <c r="B197" s="10" t="s">
        <v>262</v>
      </c>
      <c r="C197" s="15">
        <v>1</v>
      </c>
      <c r="D197" s="10" t="s">
        <v>71</v>
      </c>
      <c r="E197" s="15">
        <v>2600</v>
      </c>
      <c r="F197" s="4">
        <v>46020</v>
      </c>
      <c r="G197" s="4">
        <v>46021</v>
      </c>
      <c r="H197" s="4">
        <v>46020</v>
      </c>
      <c r="I197" s="15">
        <v>1</v>
      </c>
      <c r="J197" s="15">
        <v>1</v>
      </c>
      <c r="K197" s="10" t="s">
        <v>116</v>
      </c>
      <c r="L197" s="11">
        <v>58500</v>
      </c>
    </row>
    <row r="198" spans="1:12">
      <c r="A198" s="10" t="s">
        <v>27</v>
      </c>
      <c r="B198" s="10" t="s">
        <v>179</v>
      </c>
      <c r="C198" s="15">
        <v>2</v>
      </c>
      <c r="D198" s="10" t="s">
        <v>105</v>
      </c>
      <c r="E198" s="15">
        <v>18100</v>
      </c>
      <c r="F198" s="4">
        <v>46083</v>
      </c>
      <c r="G198" s="4">
        <v>46084</v>
      </c>
      <c r="H198" s="4">
        <v>46084</v>
      </c>
      <c r="I198" s="15">
        <v>1</v>
      </c>
      <c r="J198" s="15">
        <v>0</v>
      </c>
      <c r="K198" s="10" t="s">
        <v>116</v>
      </c>
      <c r="L198" s="11">
        <v>141904</v>
      </c>
    </row>
    <row r="199" spans="1:12">
      <c r="A199" s="10" t="s">
        <v>27</v>
      </c>
      <c r="B199" s="10" t="s">
        <v>209</v>
      </c>
      <c r="C199" s="15">
        <v>1</v>
      </c>
      <c r="D199" s="10" t="s">
        <v>105</v>
      </c>
      <c r="E199" s="15">
        <v>15800</v>
      </c>
      <c r="F199" s="4">
        <v>46024</v>
      </c>
      <c r="G199" s="4">
        <v>46025</v>
      </c>
      <c r="H199" s="4">
        <v>46024</v>
      </c>
      <c r="I199" s="15">
        <v>1</v>
      </c>
      <c r="J199" s="15">
        <v>1</v>
      </c>
      <c r="K199" s="10" t="s">
        <v>116</v>
      </c>
      <c r="L199" s="11">
        <v>123872</v>
      </c>
    </row>
    <row r="200" spans="1:12">
      <c r="A200" s="10" t="s">
        <v>27</v>
      </c>
      <c r="B200" s="10" t="s">
        <v>263</v>
      </c>
      <c r="C200" s="15">
        <v>1</v>
      </c>
      <c r="D200" s="10" t="s">
        <v>136</v>
      </c>
      <c r="E200" s="15">
        <v>16200</v>
      </c>
      <c r="F200" s="4">
        <v>45982</v>
      </c>
      <c r="G200" s="4">
        <v>45983</v>
      </c>
      <c r="H200" s="4">
        <v>45982</v>
      </c>
      <c r="I200" s="15">
        <v>1</v>
      </c>
      <c r="J200" s="15">
        <v>1</v>
      </c>
      <c r="K200" s="10" t="s">
        <v>116</v>
      </c>
      <c r="L200" s="11">
        <v>63504</v>
      </c>
    </row>
    <row r="201" spans="1:12">
      <c r="A201" s="10" t="s">
        <v>27</v>
      </c>
      <c r="B201" s="10" t="s">
        <v>264</v>
      </c>
      <c r="C201" s="15">
        <v>3</v>
      </c>
      <c r="D201" s="10" t="s">
        <v>108</v>
      </c>
      <c r="E201" s="15">
        <v>7700</v>
      </c>
      <c r="F201" s="4">
        <v>46064</v>
      </c>
      <c r="G201" s="4">
        <v>46065</v>
      </c>
      <c r="H201" s="4">
        <v>46064</v>
      </c>
      <c r="I201" s="15">
        <v>1</v>
      </c>
      <c r="J201" s="15">
        <v>1</v>
      </c>
      <c r="K201" s="10" t="s">
        <v>116</v>
      </c>
      <c r="L201" s="11">
        <v>36267</v>
      </c>
    </row>
    <row r="202" spans="1:12">
      <c r="A202" s="10" t="s">
        <v>27</v>
      </c>
      <c r="B202" s="10" t="s">
        <v>265</v>
      </c>
      <c r="C202" s="15">
        <v>1</v>
      </c>
      <c r="D202" s="10" t="s">
        <v>71</v>
      </c>
      <c r="E202" s="15">
        <v>10400</v>
      </c>
      <c r="F202" s="4">
        <v>46037</v>
      </c>
      <c r="G202" s="4">
        <v>46038</v>
      </c>
      <c r="H202" s="4">
        <v>46039</v>
      </c>
      <c r="I202" s="15">
        <v>1</v>
      </c>
      <c r="J202" s="15">
        <v>-1</v>
      </c>
      <c r="K202" s="10" t="s">
        <v>116</v>
      </c>
      <c r="L202" s="11">
        <v>234000</v>
      </c>
    </row>
    <row r="203" spans="1:12">
      <c r="A203" s="10" t="s">
        <v>27</v>
      </c>
      <c r="B203" s="10" t="s">
        <v>266</v>
      </c>
      <c r="C203" s="15">
        <v>1</v>
      </c>
      <c r="D203" s="10" t="s">
        <v>105</v>
      </c>
      <c r="E203" s="15">
        <v>1000</v>
      </c>
      <c r="F203" s="4">
        <v>45972</v>
      </c>
      <c r="G203" s="4">
        <v>45973</v>
      </c>
      <c r="H203" s="10"/>
      <c r="I203" s="15">
        <v>1</v>
      </c>
      <c r="J203" s="10"/>
      <c r="K203" s="10" t="s">
        <v>116</v>
      </c>
      <c r="L203" s="11">
        <v>7840</v>
      </c>
    </row>
    <row r="204" spans="1:12">
      <c r="A204" s="10" t="s">
        <v>27</v>
      </c>
      <c r="B204" s="10" t="s">
        <v>266</v>
      </c>
      <c r="C204" s="15">
        <v>3</v>
      </c>
      <c r="D204" s="10" t="s">
        <v>71</v>
      </c>
      <c r="E204" s="15">
        <v>11000</v>
      </c>
      <c r="F204" s="4">
        <v>45972</v>
      </c>
      <c r="G204" s="4">
        <v>45973</v>
      </c>
      <c r="H204" s="4">
        <v>45972</v>
      </c>
      <c r="I204" s="15">
        <v>1</v>
      </c>
      <c r="J204" s="15">
        <v>1</v>
      </c>
      <c r="K204" s="10" t="s">
        <v>116</v>
      </c>
      <c r="L204" s="11">
        <v>247500</v>
      </c>
    </row>
    <row r="205" spans="1:12">
      <c r="A205" s="10" t="s">
        <v>27</v>
      </c>
      <c r="B205" s="10" t="s">
        <v>267</v>
      </c>
      <c r="C205" s="15">
        <v>2</v>
      </c>
      <c r="D205" s="10" t="s">
        <v>104</v>
      </c>
      <c r="E205" s="15">
        <v>23900</v>
      </c>
      <c r="F205" s="4">
        <v>46114</v>
      </c>
      <c r="G205" s="4">
        <v>46115</v>
      </c>
      <c r="H205" s="4">
        <v>46114</v>
      </c>
      <c r="I205" s="15">
        <v>1</v>
      </c>
      <c r="J205" s="15">
        <v>1</v>
      </c>
      <c r="K205" s="10" t="s">
        <v>116</v>
      </c>
      <c r="L205" s="11">
        <v>68115</v>
      </c>
    </row>
    <row r="206" spans="1:12">
      <c r="A206" s="10" t="s">
        <v>27</v>
      </c>
      <c r="B206" s="10" t="s">
        <v>268</v>
      </c>
      <c r="C206" s="15">
        <v>1</v>
      </c>
      <c r="D206" s="10" t="s">
        <v>136</v>
      </c>
      <c r="E206" s="15">
        <v>7300</v>
      </c>
      <c r="F206" s="4">
        <v>46049</v>
      </c>
      <c r="G206" s="4">
        <v>46050</v>
      </c>
      <c r="H206" s="4">
        <v>46049</v>
      </c>
      <c r="I206" s="15">
        <v>1</v>
      </c>
      <c r="J206" s="15">
        <v>1</v>
      </c>
      <c r="K206" s="10" t="s">
        <v>116</v>
      </c>
      <c r="L206" s="11">
        <v>28616</v>
      </c>
    </row>
    <row r="207" spans="1:12">
      <c r="A207" s="10" t="s">
        <v>27</v>
      </c>
      <c r="B207" s="10" t="s">
        <v>269</v>
      </c>
      <c r="C207" s="15">
        <v>1</v>
      </c>
      <c r="D207" s="10" t="s">
        <v>108</v>
      </c>
      <c r="E207" s="15">
        <v>17600</v>
      </c>
      <c r="F207" s="4">
        <v>45972</v>
      </c>
      <c r="G207" s="4">
        <v>45973</v>
      </c>
      <c r="H207" s="4">
        <v>45972</v>
      </c>
      <c r="I207" s="15">
        <v>1</v>
      </c>
      <c r="J207" s="15">
        <v>1</v>
      </c>
      <c r="K207" s="10" t="s">
        <v>116</v>
      </c>
      <c r="L207" s="11">
        <v>82896</v>
      </c>
    </row>
    <row r="208" spans="1:12">
      <c r="A208" s="10" t="s">
        <v>29</v>
      </c>
      <c r="B208" s="10" t="s">
        <v>127</v>
      </c>
      <c r="C208" s="15">
        <v>1</v>
      </c>
      <c r="D208" s="10" t="s">
        <v>89</v>
      </c>
      <c r="E208" s="15">
        <v>1000</v>
      </c>
      <c r="F208" s="4">
        <v>46134</v>
      </c>
      <c r="G208" s="4">
        <v>46135</v>
      </c>
      <c r="H208" s="4">
        <v>46142</v>
      </c>
      <c r="I208" s="15">
        <v>1</v>
      </c>
      <c r="J208" s="15">
        <v>-7</v>
      </c>
      <c r="K208" s="10" t="s">
        <v>116</v>
      </c>
      <c r="L208" s="11">
        <v>3100</v>
      </c>
    </row>
    <row r="209" spans="1:12">
      <c r="A209" s="10" t="s">
        <v>29</v>
      </c>
      <c r="B209" s="10" t="s">
        <v>174</v>
      </c>
      <c r="C209" s="15">
        <v>2</v>
      </c>
      <c r="D209" s="10" t="s">
        <v>89</v>
      </c>
      <c r="E209" s="15">
        <v>5700</v>
      </c>
      <c r="F209" s="4">
        <v>46071</v>
      </c>
      <c r="G209" s="4">
        <v>46072</v>
      </c>
      <c r="H209" s="4">
        <v>46086</v>
      </c>
      <c r="I209" s="15">
        <v>1</v>
      </c>
      <c r="J209" s="15">
        <v>-14</v>
      </c>
      <c r="K209" s="10" t="s">
        <v>116</v>
      </c>
      <c r="L209" s="11">
        <v>17670</v>
      </c>
    </row>
    <row r="210" spans="1:12">
      <c r="A210" s="10" t="s">
        <v>28</v>
      </c>
      <c r="B210" s="10" t="s">
        <v>270</v>
      </c>
      <c r="C210" s="15">
        <v>1</v>
      </c>
      <c r="D210" s="10" t="s">
        <v>79</v>
      </c>
      <c r="E210" s="15">
        <v>19100</v>
      </c>
      <c r="F210" s="4">
        <v>46043</v>
      </c>
      <c r="G210" s="4">
        <v>46044</v>
      </c>
      <c r="H210" s="4">
        <v>46044</v>
      </c>
      <c r="I210" s="15">
        <v>1</v>
      </c>
      <c r="J210" s="15">
        <v>0</v>
      </c>
      <c r="K210" s="10" t="s">
        <v>116</v>
      </c>
      <c r="L210" s="11">
        <v>7831</v>
      </c>
    </row>
    <row r="211" spans="1:12">
      <c r="A211" s="10" t="s">
        <v>28</v>
      </c>
      <c r="B211" s="10" t="s">
        <v>271</v>
      </c>
      <c r="C211" s="15">
        <v>3</v>
      </c>
      <c r="D211" s="10" t="s">
        <v>74</v>
      </c>
      <c r="E211" s="15">
        <v>13700</v>
      </c>
      <c r="F211" s="4">
        <v>46085</v>
      </c>
      <c r="G211" s="4">
        <v>46086</v>
      </c>
      <c r="H211" s="4">
        <v>46085</v>
      </c>
      <c r="I211" s="15">
        <v>1</v>
      </c>
      <c r="J211" s="15">
        <v>1</v>
      </c>
      <c r="K211" s="10" t="s">
        <v>116</v>
      </c>
      <c r="L211" s="11">
        <v>11508</v>
      </c>
    </row>
    <row r="212" spans="1:12">
      <c r="A212" s="10" t="s">
        <v>28</v>
      </c>
      <c r="B212" s="10" t="s">
        <v>272</v>
      </c>
      <c r="C212" s="15">
        <v>1</v>
      </c>
      <c r="D212" s="10" t="s">
        <v>102</v>
      </c>
      <c r="E212" s="15">
        <v>16500</v>
      </c>
      <c r="F212" s="4">
        <v>46106</v>
      </c>
      <c r="G212" s="4">
        <v>46107</v>
      </c>
      <c r="H212" s="4">
        <v>46106</v>
      </c>
      <c r="I212" s="15">
        <v>1</v>
      </c>
      <c r="J212" s="15">
        <v>1</v>
      </c>
      <c r="K212" s="10" t="s">
        <v>116</v>
      </c>
      <c r="L212" s="11">
        <v>10230</v>
      </c>
    </row>
    <row r="213" spans="1:12">
      <c r="A213" s="10" t="s">
        <v>28</v>
      </c>
      <c r="B213" s="10" t="s">
        <v>273</v>
      </c>
      <c r="C213" s="15">
        <v>1</v>
      </c>
      <c r="D213" s="10" t="s">
        <v>102</v>
      </c>
      <c r="E213" s="15">
        <v>9900</v>
      </c>
      <c r="F213" s="4">
        <v>45968</v>
      </c>
      <c r="G213" s="4">
        <v>45969</v>
      </c>
      <c r="H213" s="4">
        <v>45969</v>
      </c>
      <c r="I213" s="15">
        <v>1</v>
      </c>
      <c r="J213" s="15">
        <v>0</v>
      </c>
      <c r="K213" s="10" t="s">
        <v>116</v>
      </c>
      <c r="L213" s="11">
        <v>6138</v>
      </c>
    </row>
    <row r="214" spans="1:12">
      <c r="A214" s="10" t="s">
        <v>28</v>
      </c>
      <c r="B214" s="10" t="s">
        <v>274</v>
      </c>
      <c r="C214" s="15">
        <v>1</v>
      </c>
      <c r="D214" s="10" t="s">
        <v>79</v>
      </c>
      <c r="E214" s="15">
        <v>11500</v>
      </c>
      <c r="F214" s="4">
        <v>45944</v>
      </c>
      <c r="G214" s="4">
        <v>45945</v>
      </c>
      <c r="H214" s="4">
        <v>45945</v>
      </c>
      <c r="I214" s="15">
        <v>1</v>
      </c>
      <c r="J214" s="15">
        <v>0</v>
      </c>
      <c r="K214" s="10" t="s">
        <v>116</v>
      </c>
      <c r="L214" s="11">
        <v>4715</v>
      </c>
    </row>
    <row r="215" spans="1:12">
      <c r="A215" s="10" t="s">
        <v>28</v>
      </c>
      <c r="B215" s="10" t="s">
        <v>275</v>
      </c>
      <c r="C215" s="15">
        <v>1</v>
      </c>
      <c r="D215" s="10" t="s">
        <v>183</v>
      </c>
      <c r="E215" s="15">
        <v>15300</v>
      </c>
      <c r="F215" s="4">
        <v>46007</v>
      </c>
      <c r="G215" s="4">
        <v>46008</v>
      </c>
      <c r="H215" s="10"/>
      <c r="I215" s="15">
        <v>1</v>
      </c>
      <c r="J215" s="10"/>
      <c r="K215" s="10" t="s">
        <v>116</v>
      </c>
      <c r="L215" s="11">
        <v>13158</v>
      </c>
    </row>
    <row r="216" spans="1:12">
      <c r="A216" s="10" t="s">
        <v>28</v>
      </c>
      <c r="B216" s="10" t="s">
        <v>276</v>
      </c>
      <c r="C216" s="15">
        <v>2</v>
      </c>
      <c r="D216" s="10" t="s">
        <v>74</v>
      </c>
      <c r="E216" s="15">
        <v>10400</v>
      </c>
      <c r="F216" s="4">
        <v>46022</v>
      </c>
      <c r="G216" s="4">
        <v>46023</v>
      </c>
      <c r="H216" s="4">
        <v>46022</v>
      </c>
      <c r="I216" s="15">
        <v>1</v>
      </c>
      <c r="J216" s="15">
        <v>1</v>
      </c>
      <c r="K216" s="10" t="s">
        <v>116</v>
      </c>
      <c r="L216" s="11">
        <v>8736</v>
      </c>
    </row>
    <row r="217" spans="1:12">
      <c r="A217" s="10" t="s">
        <v>28</v>
      </c>
      <c r="B217" s="10" t="s">
        <v>277</v>
      </c>
      <c r="C217" s="15">
        <v>1</v>
      </c>
      <c r="D217" s="10" t="s">
        <v>87</v>
      </c>
      <c r="E217" s="15">
        <v>15900</v>
      </c>
      <c r="F217" s="4">
        <v>46091</v>
      </c>
      <c r="G217" s="4">
        <v>46092</v>
      </c>
      <c r="H217" s="10"/>
      <c r="I217" s="15">
        <v>1</v>
      </c>
      <c r="J217" s="10"/>
      <c r="K217" s="10" t="s">
        <v>116</v>
      </c>
      <c r="L217" s="11">
        <v>8745</v>
      </c>
    </row>
    <row r="218" spans="1:12">
      <c r="A218" s="10" t="s">
        <v>28</v>
      </c>
      <c r="B218" s="10" t="s">
        <v>278</v>
      </c>
      <c r="C218" s="15">
        <v>1</v>
      </c>
      <c r="D218" s="10" t="s">
        <v>102</v>
      </c>
      <c r="E218" s="15">
        <v>13400</v>
      </c>
      <c r="F218" s="4">
        <v>46143</v>
      </c>
      <c r="G218" s="4">
        <v>46144</v>
      </c>
      <c r="H218" s="4">
        <v>46152</v>
      </c>
      <c r="I218" s="15">
        <v>1</v>
      </c>
      <c r="J218" s="15">
        <v>-8</v>
      </c>
      <c r="K218" s="10" t="s">
        <v>116</v>
      </c>
      <c r="L218" s="11">
        <v>8308</v>
      </c>
    </row>
    <row r="219" spans="1:12">
      <c r="A219" s="10" t="s">
        <v>28</v>
      </c>
      <c r="B219" s="10" t="s">
        <v>279</v>
      </c>
      <c r="C219" s="15">
        <v>2</v>
      </c>
      <c r="D219" s="10" t="s">
        <v>87</v>
      </c>
      <c r="E219" s="15">
        <v>9500</v>
      </c>
      <c r="F219" s="4">
        <v>45933</v>
      </c>
      <c r="G219" s="4">
        <v>45934</v>
      </c>
      <c r="H219" s="4">
        <v>45938</v>
      </c>
      <c r="I219" s="15">
        <v>1</v>
      </c>
      <c r="J219" s="15">
        <v>-4</v>
      </c>
      <c r="K219" s="10" t="s">
        <v>116</v>
      </c>
      <c r="L219" s="11">
        <v>5225</v>
      </c>
    </row>
    <row r="220" spans="1:12">
      <c r="A220" s="10" t="s">
        <v>31</v>
      </c>
      <c r="B220" s="10" t="s">
        <v>280</v>
      </c>
      <c r="C220" s="15">
        <v>1</v>
      </c>
      <c r="D220" s="10" t="s">
        <v>110</v>
      </c>
      <c r="E220" s="15">
        <v>7100</v>
      </c>
      <c r="F220" s="4">
        <v>46126</v>
      </c>
      <c r="G220" s="4">
        <v>46127</v>
      </c>
      <c r="H220" s="4">
        <v>46126</v>
      </c>
      <c r="I220" s="15">
        <v>1</v>
      </c>
      <c r="J220" s="15">
        <v>1</v>
      </c>
      <c r="K220" s="10" t="s">
        <v>116</v>
      </c>
      <c r="L220" s="11">
        <v>781</v>
      </c>
    </row>
    <row r="221" spans="1:12">
      <c r="A221" s="10" t="s">
        <v>31</v>
      </c>
      <c r="B221" s="10" t="s">
        <v>281</v>
      </c>
      <c r="C221" s="15">
        <v>1</v>
      </c>
      <c r="D221" s="10" t="s">
        <v>85</v>
      </c>
      <c r="E221" s="15">
        <v>2600</v>
      </c>
      <c r="F221" s="4">
        <v>46146</v>
      </c>
      <c r="G221" s="4">
        <v>46147</v>
      </c>
      <c r="H221" s="10"/>
      <c r="I221" s="15">
        <v>1</v>
      </c>
      <c r="J221" s="10"/>
      <c r="K221" s="10" t="s">
        <v>116</v>
      </c>
      <c r="L221" s="11">
        <v>208</v>
      </c>
    </row>
    <row r="222" spans="1:12">
      <c r="A222" s="10" t="s">
        <v>31</v>
      </c>
      <c r="B222" s="10" t="s">
        <v>282</v>
      </c>
      <c r="C222" s="15">
        <v>2</v>
      </c>
      <c r="D222" s="10" t="s">
        <v>85</v>
      </c>
      <c r="E222" s="15">
        <v>9550</v>
      </c>
      <c r="F222" s="4">
        <v>45986</v>
      </c>
      <c r="G222" s="4">
        <v>45987</v>
      </c>
      <c r="H222" s="4">
        <v>45986</v>
      </c>
      <c r="I222" s="15">
        <v>1</v>
      </c>
      <c r="J222" s="15">
        <v>1</v>
      </c>
      <c r="K222" s="10" t="s">
        <v>116</v>
      </c>
      <c r="L222" s="11">
        <v>764</v>
      </c>
    </row>
    <row r="223" spans="1:12">
      <c r="A223" s="10" t="s">
        <v>31</v>
      </c>
      <c r="B223" s="10" t="s">
        <v>283</v>
      </c>
      <c r="C223" s="15">
        <v>2</v>
      </c>
      <c r="D223" s="10" t="s">
        <v>85</v>
      </c>
      <c r="E223" s="15">
        <v>8450</v>
      </c>
      <c r="F223" s="4">
        <v>46008</v>
      </c>
      <c r="G223" s="4">
        <v>46009</v>
      </c>
      <c r="H223" s="4">
        <v>46008</v>
      </c>
      <c r="I223" s="15">
        <v>1</v>
      </c>
      <c r="J223" s="15">
        <v>1</v>
      </c>
      <c r="K223" s="10" t="s">
        <v>116</v>
      </c>
      <c r="L223" s="11">
        <v>676</v>
      </c>
    </row>
    <row r="224" spans="1:12">
      <c r="A224" s="10" t="s">
        <v>31</v>
      </c>
      <c r="B224" s="10" t="s">
        <v>284</v>
      </c>
      <c r="C224" s="15">
        <v>2</v>
      </c>
      <c r="D224" s="10" t="s">
        <v>110</v>
      </c>
      <c r="E224" s="15">
        <v>400</v>
      </c>
      <c r="F224" s="4">
        <v>46084</v>
      </c>
      <c r="G224" s="4">
        <v>46085</v>
      </c>
      <c r="H224" s="4">
        <v>46084</v>
      </c>
      <c r="I224" s="15">
        <v>1</v>
      </c>
      <c r="J224" s="15">
        <v>1</v>
      </c>
      <c r="K224" s="10" t="s">
        <v>116</v>
      </c>
      <c r="L224" s="11">
        <v>44</v>
      </c>
    </row>
    <row r="225" spans="1:12">
      <c r="A225" s="10" t="s">
        <v>31</v>
      </c>
      <c r="B225" s="10" t="s">
        <v>285</v>
      </c>
      <c r="C225" s="15">
        <v>1</v>
      </c>
      <c r="D225" s="10" t="s">
        <v>110</v>
      </c>
      <c r="E225" s="15">
        <v>5900</v>
      </c>
      <c r="F225" s="4">
        <v>46099</v>
      </c>
      <c r="G225" s="4">
        <v>46100</v>
      </c>
      <c r="H225" s="4">
        <v>46099</v>
      </c>
      <c r="I225" s="15">
        <v>1</v>
      </c>
      <c r="J225" s="15">
        <v>1</v>
      </c>
      <c r="K225" s="10" t="s">
        <v>116</v>
      </c>
      <c r="L225" s="11">
        <v>649</v>
      </c>
    </row>
    <row r="226" spans="1:12">
      <c r="A226" s="10" t="s">
        <v>31</v>
      </c>
      <c r="B226" s="10" t="s">
        <v>286</v>
      </c>
      <c r="C226" s="15">
        <v>3</v>
      </c>
      <c r="D226" s="10" t="s">
        <v>110</v>
      </c>
      <c r="E226" s="15">
        <v>1250</v>
      </c>
      <c r="F226" s="4">
        <v>45961</v>
      </c>
      <c r="G226" s="4">
        <v>45962</v>
      </c>
      <c r="H226" s="4">
        <v>45962</v>
      </c>
      <c r="I226" s="15">
        <v>1</v>
      </c>
      <c r="J226" s="15">
        <v>0</v>
      </c>
      <c r="K226" s="10" t="s">
        <v>116</v>
      </c>
      <c r="L226" s="11">
        <v>137.5</v>
      </c>
    </row>
    <row r="227" spans="1:12">
      <c r="A227" s="10" t="s">
        <v>31</v>
      </c>
      <c r="B227" s="10" t="s">
        <v>287</v>
      </c>
      <c r="C227" s="15">
        <v>2</v>
      </c>
      <c r="D227" s="10" t="s">
        <v>85</v>
      </c>
      <c r="E227" s="15">
        <v>6700</v>
      </c>
      <c r="F227" s="4">
        <v>46055</v>
      </c>
      <c r="G227" s="4">
        <v>46056</v>
      </c>
      <c r="H227" s="4">
        <v>46056</v>
      </c>
      <c r="I227" s="15">
        <v>1</v>
      </c>
      <c r="J227" s="15">
        <v>0</v>
      </c>
      <c r="K227" s="10" t="s">
        <v>116</v>
      </c>
      <c r="L227" s="11">
        <v>536</v>
      </c>
    </row>
    <row r="228" spans="1:12">
      <c r="A228" s="10" t="s">
        <v>31</v>
      </c>
      <c r="B228" s="10" t="s">
        <v>288</v>
      </c>
      <c r="C228" s="15">
        <v>1</v>
      </c>
      <c r="D228" s="10" t="s">
        <v>110</v>
      </c>
      <c r="E228" s="15">
        <v>7300</v>
      </c>
      <c r="F228" s="4">
        <v>46142</v>
      </c>
      <c r="G228" s="4">
        <v>46143</v>
      </c>
      <c r="H228" s="10"/>
      <c r="I228" s="15">
        <v>1</v>
      </c>
      <c r="J228" s="10"/>
      <c r="K228" s="10" t="s">
        <v>116</v>
      </c>
      <c r="L228" s="11">
        <v>803</v>
      </c>
    </row>
    <row r="229" spans="1:12">
      <c r="A229" s="10" t="s">
        <v>31</v>
      </c>
      <c r="B229" s="10" t="s">
        <v>288</v>
      </c>
      <c r="C229" s="15">
        <v>2</v>
      </c>
      <c r="D229" s="10" t="s">
        <v>85</v>
      </c>
      <c r="E229" s="15">
        <v>2600</v>
      </c>
      <c r="F229" s="4">
        <v>46142</v>
      </c>
      <c r="G229" s="4">
        <v>46143</v>
      </c>
      <c r="H229" s="10"/>
      <c r="I229" s="15">
        <v>1</v>
      </c>
      <c r="J229" s="10"/>
      <c r="K229" s="10" t="s">
        <v>116</v>
      </c>
      <c r="L229" s="11">
        <v>208</v>
      </c>
    </row>
    <row r="230" spans="1:12">
      <c r="A230" s="10" t="s">
        <v>31</v>
      </c>
      <c r="B230" s="10" t="s">
        <v>289</v>
      </c>
      <c r="C230" s="15">
        <v>2</v>
      </c>
      <c r="D230" s="10" t="s">
        <v>85</v>
      </c>
      <c r="E230" s="15">
        <v>7800</v>
      </c>
      <c r="F230" s="4">
        <v>46077</v>
      </c>
      <c r="G230" s="4">
        <v>46078</v>
      </c>
      <c r="H230" s="4">
        <v>46077</v>
      </c>
      <c r="I230" s="15">
        <v>1</v>
      </c>
      <c r="J230" s="15">
        <v>1</v>
      </c>
      <c r="K230" s="10" t="s">
        <v>116</v>
      </c>
      <c r="L230" s="11">
        <v>624</v>
      </c>
    </row>
    <row r="231" spans="1:12">
      <c r="A231" s="10" t="s">
        <v>30</v>
      </c>
      <c r="B231" s="10" t="s">
        <v>290</v>
      </c>
      <c r="C231" s="15">
        <v>2</v>
      </c>
      <c r="D231" s="10" t="s">
        <v>194</v>
      </c>
      <c r="E231" s="15">
        <v>14</v>
      </c>
      <c r="F231" s="4">
        <v>45966</v>
      </c>
      <c r="G231" s="4">
        <v>45967</v>
      </c>
      <c r="H231" s="4">
        <v>45966</v>
      </c>
      <c r="I231" s="15">
        <v>1</v>
      </c>
      <c r="J231" s="15">
        <v>1</v>
      </c>
      <c r="K231" s="10" t="s">
        <v>116</v>
      </c>
      <c r="L231" s="11">
        <v>17360</v>
      </c>
    </row>
    <row r="232" spans="1:12">
      <c r="A232" s="10" t="s">
        <v>30</v>
      </c>
      <c r="B232" s="10" t="s">
        <v>225</v>
      </c>
      <c r="C232" s="15">
        <v>1</v>
      </c>
      <c r="D232" s="10" t="s">
        <v>208</v>
      </c>
      <c r="E232" s="15">
        <v>23</v>
      </c>
      <c r="F232" s="4">
        <v>45978</v>
      </c>
      <c r="G232" s="4">
        <v>45979</v>
      </c>
      <c r="H232" s="4">
        <v>45978</v>
      </c>
      <c r="I232" s="15">
        <v>1</v>
      </c>
      <c r="J232" s="15">
        <v>1</v>
      </c>
      <c r="K232" s="10" t="s">
        <v>116</v>
      </c>
      <c r="L232" s="11">
        <v>418.6</v>
      </c>
    </row>
    <row r="233" spans="1:12">
      <c r="A233" s="10" t="s">
        <v>30</v>
      </c>
      <c r="B233" s="10" t="s">
        <v>291</v>
      </c>
      <c r="C233" s="15">
        <v>1</v>
      </c>
      <c r="D233" s="10" t="s">
        <v>185</v>
      </c>
      <c r="E233" s="15">
        <v>33</v>
      </c>
      <c r="F233" s="4">
        <v>46027</v>
      </c>
      <c r="G233" s="4">
        <v>46028</v>
      </c>
      <c r="H233" s="4">
        <v>46027</v>
      </c>
      <c r="I233" s="15">
        <v>1</v>
      </c>
      <c r="J233" s="15">
        <v>1</v>
      </c>
      <c r="K233" s="10" t="s">
        <v>116</v>
      </c>
      <c r="L233" s="11">
        <v>3168</v>
      </c>
    </row>
    <row r="234" spans="1:12">
      <c r="A234" s="10" t="s">
        <v>30</v>
      </c>
      <c r="B234" s="10" t="s">
        <v>292</v>
      </c>
      <c r="C234" s="15">
        <v>1</v>
      </c>
      <c r="D234" s="10" t="s">
        <v>208</v>
      </c>
      <c r="E234" s="15">
        <v>3</v>
      </c>
      <c r="F234" s="4">
        <v>46107</v>
      </c>
      <c r="G234" s="4">
        <v>46108</v>
      </c>
      <c r="H234" s="4">
        <v>46107</v>
      </c>
      <c r="I234" s="15">
        <v>1</v>
      </c>
      <c r="J234" s="15">
        <v>1</v>
      </c>
      <c r="K234" s="10" t="s">
        <v>116</v>
      </c>
      <c r="L234" s="11">
        <v>54.6</v>
      </c>
    </row>
    <row r="235" spans="1:12">
      <c r="A235" s="10" t="s">
        <v>30</v>
      </c>
      <c r="B235" s="10" t="s">
        <v>292</v>
      </c>
      <c r="C235" s="15">
        <v>2</v>
      </c>
      <c r="D235" s="10" t="s">
        <v>185</v>
      </c>
      <c r="E235" s="15">
        <v>18</v>
      </c>
      <c r="F235" s="4">
        <v>46107</v>
      </c>
      <c r="G235" s="4">
        <v>46108</v>
      </c>
      <c r="H235" s="4">
        <v>46107</v>
      </c>
      <c r="I235" s="15">
        <v>1</v>
      </c>
      <c r="J235" s="15">
        <v>1</v>
      </c>
      <c r="K235" s="10" t="s">
        <v>116</v>
      </c>
      <c r="L235" s="11">
        <v>1728</v>
      </c>
    </row>
    <row r="236" spans="1:12">
      <c r="A236" s="10" t="s">
        <v>30</v>
      </c>
      <c r="B236" s="10" t="s">
        <v>293</v>
      </c>
      <c r="C236" s="15">
        <v>3</v>
      </c>
      <c r="D236" s="10" t="s">
        <v>194</v>
      </c>
      <c r="E236" s="15">
        <v>17</v>
      </c>
      <c r="F236" s="4">
        <v>46035</v>
      </c>
      <c r="G236" s="4">
        <v>46036</v>
      </c>
      <c r="H236" s="4">
        <v>46036</v>
      </c>
      <c r="I236" s="15">
        <v>1</v>
      </c>
      <c r="J236" s="15">
        <v>0</v>
      </c>
      <c r="K236" s="10" t="s">
        <v>116</v>
      </c>
      <c r="L236" s="11">
        <v>21080</v>
      </c>
    </row>
    <row r="237" spans="1:12">
      <c r="A237" s="10" t="s">
        <v>30</v>
      </c>
      <c r="B237" s="10" t="s">
        <v>294</v>
      </c>
      <c r="C237" s="15">
        <v>2</v>
      </c>
      <c r="D237" s="10" t="s">
        <v>208</v>
      </c>
      <c r="E237" s="15">
        <v>21</v>
      </c>
      <c r="F237" s="4">
        <v>46107</v>
      </c>
      <c r="G237" s="4">
        <v>46108</v>
      </c>
      <c r="H237" s="4">
        <v>46107</v>
      </c>
      <c r="I237" s="15">
        <v>1</v>
      </c>
      <c r="J237" s="15">
        <v>1</v>
      </c>
      <c r="K237" s="10" t="s">
        <v>116</v>
      </c>
      <c r="L237" s="11">
        <v>382.2</v>
      </c>
    </row>
    <row r="238" spans="1:12">
      <c r="A238" s="10" t="s">
        <v>32</v>
      </c>
      <c r="B238" s="10" t="s">
        <v>295</v>
      </c>
      <c r="C238" s="15">
        <v>2</v>
      </c>
      <c r="D238" s="10" t="s">
        <v>83</v>
      </c>
      <c r="E238" s="15">
        <v>240</v>
      </c>
      <c r="F238" s="4">
        <v>45993</v>
      </c>
      <c r="G238" s="4">
        <v>45994</v>
      </c>
      <c r="H238" s="4">
        <v>45993</v>
      </c>
      <c r="I238" s="15">
        <v>1</v>
      </c>
      <c r="J238" s="15">
        <v>1</v>
      </c>
      <c r="K238" s="10" t="s">
        <v>116</v>
      </c>
      <c r="L238" s="11">
        <v>14.4</v>
      </c>
    </row>
    <row r="239" spans="1:12">
      <c r="A239" s="10" t="s">
        <v>31</v>
      </c>
      <c r="B239" s="10" t="s">
        <v>296</v>
      </c>
      <c r="C239" s="15">
        <v>1</v>
      </c>
      <c r="D239" s="10" t="s">
        <v>85</v>
      </c>
      <c r="E239" s="15">
        <v>2500</v>
      </c>
      <c r="F239" s="4">
        <v>46159</v>
      </c>
      <c r="G239" s="10"/>
      <c r="H239" s="10"/>
      <c r="I239" s="15">
        <v>0</v>
      </c>
      <c r="J239" s="10"/>
      <c r="K239" s="10" t="s">
        <v>72</v>
      </c>
      <c r="L239" s="11">
        <v>0</v>
      </c>
    </row>
    <row r="240" spans="1:12">
      <c r="A240" s="10" t="s">
        <v>31</v>
      </c>
      <c r="B240" s="10" t="s">
        <v>297</v>
      </c>
      <c r="C240" s="15">
        <v>1</v>
      </c>
      <c r="D240" s="10" t="s">
        <v>110</v>
      </c>
      <c r="E240" s="15">
        <v>10000</v>
      </c>
      <c r="F240" s="4">
        <v>46159</v>
      </c>
      <c r="G240" s="10"/>
      <c r="H240" s="10"/>
      <c r="I240" s="15">
        <v>0</v>
      </c>
      <c r="J240" s="10"/>
      <c r="K240" s="10" t="s">
        <v>72</v>
      </c>
      <c r="L240" s="11">
        <v>0</v>
      </c>
    </row>
  </sheetData>
  <autoFilter ref="A1:L24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2.7109375" customWidth="1"/>
    <col min="2" max="2" width="32.7109375" customWidth="1"/>
    <col min="3" max="4" width="16.7109375" customWidth="1"/>
    <col min="5" max="6" width="14.7109375" customWidth="1"/>
    <col min="7" max="7" width="10.7109375" customWidth="1"/>
    <col min="8" max="9" width="13.7109375" customWidth="1"/>
    <col min="10" max="10" width="12.7109375" customWidth="1"/>
    <col min="11" max="11" width="24.7109375" customWidth="1"/>
  </cols>
  <sheetData>
    <row r="1" spans="1:11" ht="32" customHeight="1">
      <c r="A1" s="9" t="s">
        <v>35</v>
      </c>
      <c r="B1" s="9" t="s">
        <v>36</v>
      </c>
      <c r="C1" s="9" t="s">
        <v>298</v>
      </c>
      <c r="D1" s="9" t="s">
        <v>299</v>
      </c>
      <c r="E1" s="9" t="s">
        <v>300</v>
      </c>
      <c r="F1" s="9" t="s">
        <v>301</v>
      </c>
      <c r="G1" s="9" t="s">
        <v>302</v>
      </c>
      <c r="H1" s="9" t="s">
        <v>303</v>
      </c>
      <c r="I1" s="9" t="s">
        <v>304</v>
      </c>
      <c r="J1" s="9" t="s">
        <v>305</v>
      </c>
      <c r="K1" s="9" t="s">
        <v>306</v>
      </c>
    </row>
    <row r="2" spans="1:11">
      <c r="A2" s="10" t="s">
        <v>53</v>
      </c>
      <c r="B2" s="10" t="s">
        <v>28</v>
      </c>
      <c r="C2" s="10" t="s">
        <v>307</v>
      </c>
      <c r="D2" s="10" t="s">
        <v>79</v>
      </c>
      <c r="E2" s="15">
        <v>36</v>
      </c>
      <c r="F2" s="15">
        <v>36</v>
      </c>
      <c r="G2" s="13">
        <v>1</v>
      </c>
      <c r="H2" s="4">
        <v>45904</v>
      </c>
      <c r="I2" s="4">
        <v>46100</v>
      </c>
      <c r="J2" s="10" t="s">
        <v>308</v>
      </c>
      <c r="K2" s="10" t="s">
        <v>309</v>
      </c>
    </row>
    <row r="3" spans="1:11">
      <c r="A3" s="10" t="s">
        <v>53</v>
      </c>
      <c r="B3" s="10" t="s">
        <v>28</v>
      </c>
      <c r="C3" s="10" t="s">
        <v>310</v>
      </c>
      <c r="D3" s="10" t="s">
        <v>102</v>
      </c>
      <c r="E3" s="15">
        <v>44</v>
      </c>
      <c r="F3" s="15">
        <v>44</v>
      </c>
      <c r="G3" s="13">
        <v>1</v>
      </c>
      <c r="H3" s="4">
        <v>45917</v>
      </c>
      <c r="I3" s="4">
        <v>46115</v>
      </c>
      <c r="J3" s="10" t="s">
        <v>308</v>
      </c>
      <c r="K3" s="10" t="s">
        <v>309</v>
      </c>
    </row>
    <row r="4" spans="1:11">
      <c r="A4" s="10" t="s">
        <v>53</v>
      </c>
      <c r="B4" s="10" t="s">
        <v>28</v>
      </c>
      <c r="C4" s="10" t="s">
        <v>311</v>
      </c>
      <c r="D4" s="10" t="s">
        <v>74</v>
      </c>
      <c r="E4" s="15">
        <v>30</v>
      </c>
      <c r="F4" s="15">
        <v>30</v>
      </c>
      <c r="G4" s="13">
        <v>1</v>
      </c>
      <c r="H4" s="4">
        <v>45910</v>
      </c>
      <c r="I4" s="4">
        <v>46114</v>
      </c>
      <c r="J4" s="10" t="s">
        <v>308</v>
      </c>
      <c r="K4" s="10" t="s">
        <v>309</v>
      </c>
    </row>
    <row r="5" spans="1:11">
      <c r="A5" s="10" t="s">
        <v>53</v>
      </c>
      <c r="B5" s="10" t="s">
        <v>28</v>
      </c>
      <c r="C5" s="10" t="s">
        <v>312</v>
      </c>
      <c r="D5" s="10" t="s">
        <v>183</v>
      </c>
      <c r="E5" s="15">
        <v>35</v>
      </c>
      <c r="F5" s="15">
        <v>35</v>
      </c>
      <c r="G5" s="13">
        <v>1</v>
      </c>
      <c r="H5" s="4">
        <v>45904</v>
      </c>
      <c r="I5" s="4">
        <v>46103</v>
      </c>
      <c r="J5" s="10" t="s">
        <v>308</v>
      </c>
      <c r="K5" s="10" t="s">
        <v>309</v>
      </c>
    </row>
    <row r="6" spans="1:11">
      <c r="A6" s="10" t="s">
        <v>53</v>
      </c>
      <c r="B6" s="10" t="s">
        <v>28</v>
      </c>
      <c r="C6" s="10" t="s">
        <v>313</v>
      </c>
      <c r="D6" s="10" t="s">
        <v>87</v>
      </c>
      <c r="E6" s="15">
        <v>41</v>
      </c>
      <c r="F6" s="15">
        <v>41</v>
      </c>
      <c r="G6" s="13">
        <v>1</v>
      </c>
      <c r="H6" s="4">
        <v>45903</v>
      </c>
      <c r="I6" s="4">
        <v>46112</v>
      </c>
      <c r="J6" s="10" t="s">
        <v>308</v>
      </c>
      <c r="K6" s="10" t="s">
        <v>309</v>
      </c>
    </row>
    <row r="7" spans="1:11">
      <c r="A7" s="10" t="s">
        <v>52</v>
      </c>
      <c r="B7" s="10" t="s">
        <v>30</v>
      </c>
      <c r="C7" s="10" t="s">
        <v>313</v>
      </c>
      <c r="D7" s="10" t="s">
        <v>185</v>
      </c>
      <c r="E7" s="15">
        <v>18</v>
      </c>
      <c r="F7" s="15">
        <v>18</v>
      </c>
      <c r="G7" s="13">
        <v>1</v>
      </c>
      <c r="H7" s="4">
        <v>45914</v>
      </c>
      <c r="I7" s="4">
        <v>46080</v>
      </c>
      <c r="J7" s="10" t="s">
        <v>308</v>
      </c>
      <c r="K7" s="10" t="s">
        <v>309</v>
      </c>
    </row>
    <row r="8" spans="1:11">
      <c r="A8" s="10" t="s">
        <v>52</v>
      </c>
      <c r="B8" s="10" t="s">
        <v>30</v>
      </c>
      <c r="C8" s="10" t="s">
        <v>314</v>
      </c>
      <c r="D8" s="10" t="s">
        <v>194</v>
      </c>
      <c r="E8" s="15">
        <v>20</v>
      </c>
      <c r="F8" s="15">
        <v>20</v>
      </c>
      <c r="G8" s="13">
        <v>1</v>
      </c>
      <c r="H8" s="4">
        <v>45908</v>
      </c>
      <c r="I8" s="4">
        <v>46112</v>
      </c>
      <c r="J8" s="10" t="s">
        <v>308</v>
      </c>
      <c r="K8" s="10" t="s">
        <v>309</v>
      </c>
    </row>
    <row r="9" spans="1:11">
      <c r="A9" s="10" t="s">
        <v>52</v>
      </c>
      <c r="B9" s="10" t="s">
        <v>30</v>
      </c>
      <c r="C9" s="10" t="s">
        <v>315</v>
      </c>
      <c r="D9" s="10" t="s">
        <v>208</v>
      </c>
      <c r="E9" s="15">
        <v>17</v>
      </c>
      <c r="F9" s="15">
        <v>17</v>
      </c>
      <c r="G9" s="13">
        <v>1</v>
      </c>
      <c r="H9" s="4">
        <v>45909</v>
      </c>
      <c r="I9" s="4">
        <v>46105</v>
      </c>
      <c r="J9" s="10" t="s">
        <v>308</v>
      </c>
      <c r="K9" s="10" t="s">
        <v>309</v>
      </c>
    </row>
    <row r="10" spans="1:11">
      <c r="A10" s="10" t="s">
        <v>53</v>
      </c>
      <c r="B10" s="10" t="s">
        <v>28</v>
      </c>
      <c r="C10" s="10" t="s">
        <v>316</v>
      </c>
      <c r="D10" s="10" t="s">
        <v>183</v>
      </c>
      <c r="E10" s="15">
        <v>1</v>
      </c>
      <c r="F10" s="15">
        <v>1</v>
      </c>
      <c r="G10" s="13">
        <v>1</v>
      </c>
      <c r="J10" s="10" t="s">
        <v>317</v>
      </c>
      <c r="K10" s="10" t="s">
        <v>318</v>
      </c>
    </row>
    <row r="11" spans="1:11">
      <c r="A11" s="10" t="s">
        <v>52</v>
      </c>
      <c r="B11" s="10" t="s">
        <v>30</v>
      </c>
      <c r="C11" s="10" t="s">
        <v>319</v>
      </c>
      <c r="D11" s="10" t="s">
        <v>208</v>
      </c>
      <c r="E11" s="15">
        <v>1</v>
      </c>
      <c r="F11" s="15">
        <v>1</v>
      </c>
      <c r="G11" s="13">
        <v>1</v>
      </c>
      <c r="J11" s="10" t="s">
        <v>317</v>
      </c>
      <c r="K11" s="10" t="s">
        <v>318</v>
      </c>
    </row>
  </sheetData>
  <autoFilter ref="A1:K1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47"/>
  <sheetViews>
    <sheetView workbookViewId="0"/>
  </sheetViews>
  <sheetFormatPr defaultRowHeight="15"/>
  <cols>
    <col min="1" max="1" width="100.7109375" customWidth="1"/>
  </cols>
  <sheetData>
    <row r="1" spans="1:1">
      <c r="A1" s="1" t="s">
        <v>320</v>
      </c>
    </row>
    <row r="3" spans="1:1">
      <c r="A3" s="8" t="s">
        <v>321</v>
      </c>
    </row>
    <row r="4" spans="1:1">
      <c r="A4" s="17" t="s">
        <v>322</v>
      </c>
    </row>
    <row r="5" spans="1:1">
      <c r="A5" s="17" t="s">
        <v>323</v>
      </c>
    </row>
    <row r="6" spans="1:1">
      <c r="A6" s="17" t="s">
        <v>324</v>
      </c>
    </row>
    <row r="7" spans="1:1">
      <c r="A7" s="17" t="s">
        <v>325</v>
      </c>
    </row>
    <row r="8" spans="1:1">
      <c r="A8" s="17" t="s">
        <v>326</v>
      </c>
    </row>
    <row r="9" spans="1:1">
      <c r="A9" s="17" t="s">
        <v>327</v>
      </c>
    </row>
    <row r="10" spans="1:1">
      <c r="A10" s="17" t="s">
        <v>328</v>
      </c>
    </row>
    <row r="11" spans="1:1">
      <c r="A11" s="17"/>
    </row>
    <row r="12" spans="1:1">
      <c r="A12" s="8" t="s">
        <v>329</v>
      </c>
    </row>
    <row r="13" spans="1:1">
      <c r="A13" s="17" t="s">
        <v>330</v>
      </c>
    </row>
    <row r="14" spans="1:1">
      <c r="A14" s="17" t="s">
        <v>331</v>
      </c>
    </row>
    <row r="15" spans="1:1">
      <c r="A15" s="17" t="s">
        <v>332</v>
      </c>
    </row>
    <row r="16" spans="1:1">
      <c r="A16" s="17" t="s">
        <v>333</v>
      </c>
    </row>
    <row r="17" spans="1:1">
      <c r="A17" s="17" t="s">
        <v>334</v>
      </c>
    </row>
    <row r="18" spans="1:1">
      <c r="A18" s="17" t="s">
        <v>335</v>
      </c>
    </row>
    <row r="19" spans="1:1">
      <c r="A19" s="17" t="s">
        <v>336</v>
      </c>
    </row>
    <row r="20" spans="1:1">
      <c r="A20" s="17" t="s">
        <v>337</v>
      </c>
    </row>
    <row r="21" spans="1:1">
      <c r="A21" s="17" t="s">
        <v>338</v>
      </c>
    </row>
    <row r="22" spans="1:1">
      <c r="A22" s="17" t="s">
        <v>339</v>
      </c>
    </row>
    <row r="23" spans="1:1">
      <c r="A23" s="17" t="s">
        <v>340</v>
      </c>
    </row>
    <row r="24" spans="1:1">
      <c r="A24" s="17" t="s">
        <v>341</v>
      </c>
    </row>
    <row r="25" spans="1:1">
      <c r="A25" s="17"/>
    </row>
    <row r="26" spans="1:1">
      <c r="A26" s="8" t="s">
        <v>342</v>
      </c>
    </row>
    <row r="27" spans="1:1">
      <c r="A27" s="17" t="s">
        <v>343</v>
      </c>
    </row>
    <row r="28" spans="1:1">
      <c r="A28" s="17" t="s">
        <v>344</v>
      </c>
    </row>
    <row r="29" spans="1:1">
      <c r="A29" s="17"/>
    </row>
    <row r="30" spans="1:1">
      <c r="A30" s="8" t="s">
        <v>345</v>
      </c>
    </row>
    <row r="31" spans="1:1">
      <c r="A31" s="17" t="s">
        <v>346</v>
      </c>
    </row>
    <row r="32" spans="1:1">
      <c r="A32" s="17" t="s">
        <v>347</v>
      </c>
    </row>
    <row r="33" spans="1:1">
      <c r="A33" s="17" t="s">
        <v>348</v>
      </c>
    </row>
    <row r="34" spans="1:1">
      <c r="A34" s="17"/>
    </row>
    <row r="35" spans="1:1">
      <c r="A35" s="8" t="s">
        <v>349</v>
      </c>
    </row>
    <row r="36" spans="1:1">
      <c r="A36" s="17" t="s">
        <v>350</v>
      </c>
    </row>
    <row r="37" spans="1:1">
      <c r="A37" s="17" t="s">
        <v>351</v>
      </c>
    </row>
    <row r="38" spans="1:1">
      <c r="A38" s="17" t="s">
        <v>352</v>
      </c>
    </row>
    <row r="39" spans="1:1">
      <c r="A39" s="17" t="s">
        <v>353</v>
      </c>
    </row>
    <row r="40" spans="1:1">
      <c r="A40" s="17" t="s">
        <v>354</v>
      </c>
    </row>
    <row r="41" spans="1:1">
      <c r="A41" s="17" t="s">
        <v>355</v>
      </c>
    </row>
    <row r="42" spans="1:1">
      <c r="A42" s="17" t="s">
        <v>356</v>
      </c>
    </row>
    <row r="43" spans="1:1">
      <c r="A43" s="17" t="s">
        <v>357</v>
      </c>
    </row>
    <row r="44" spans="1:1">
      <c r="A44" s="17" t="s">
        <v>358</v>
      </c>
    </row>
    <row r="45" spans="1:1">
      <c r="A45" s="17" t="s">
        <v>359</v>
      </c>
    </row>
    <row r="46" spans="1:1">
      <c r="A46" s="17" t="s">
        <v>360</v>
      </c>
    </row>
    <row r="47" spans="1:1">
      <c r="A47" s="17"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EXECUTIVE_SUMMARY</vt:lpstr>
      <vt:lpstr>VENDOR_COMPARISON</vt:lpstr>
      <vt:lpstr>MONTHLY_RECEIVED_VALUE</vt:lpstr>
      <vt:lpstr>LATE_LINES</vt:lpstr>
      <vt:lpstr>PART_CROSSWALK</vt:lpstr>
      <vt:lpstr>DATA_NOTES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2026-09-28T19:27:51Z</dcterms:created>
  <dcterms:modified xsi:type="dcterms:W3CDTF">2026-09-28T19:27:51Z</dcterms:modified>
</cp:coreProperties>
</file>