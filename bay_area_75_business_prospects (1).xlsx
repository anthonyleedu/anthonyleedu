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e61f7e74d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c52fedb1a9454946"/>
    <x:sheet xmlns:r="http://schemas.openxmlformats.org/officeDocument/2006/relationships" name="Revenue &amp; Fit Screening" sheetId="2" r:id="R73bdf94481194210"/>
    <x:sheet xmlns:r="http://schemas.openxmlformats.org/officeDocument/2006/relationships" name="Read Me" sheetId="3" r:id="Rb47d0f7d01e6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775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5E7E"/>
      </x:patternFill>
    </x:fill>
    <x:fill>
      <x:patternFill patternType="solid">
        <x:fgColor rgb="FFF2F7FB"/>
      </x:patternFill>
    </x:fill>
    <x:fill>
      <x:patternFill patternType="solid">
        <x:fgColor rgb="FFFBF6E9"/>
      </x:patternFill>
    </x:fill>
    <x:fill>
      <x:patternFill patternType="solid">
        <x:fgColor rgb="FFEFF7F0"/>
      </x:patternFill>
    </x:fill>
    <x:fill>
      <x:patternFill patternType="solid">
        <x:fgColor rgb="FFF7FAFC"/>
      </x:patternFill>
    </x:fill>
  </x:fills>
  <x:borders count="10">
    <x:border/>
    <x:border/>
    <x:border>
      <x:bottom/>
    </x:border>
    <x:border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8" xfId="0" applyNumberFormat="1" applyFont="1" applyFill="1" applyBorder="1"/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0" fontId="8" fillId="3" borderId="0" xfId="0" applyNumberFormat="1" applyFont="1" applyFill="1" applyBorder="1"/>
    <x:xf numFmtId="0" fontId="8" fillId="3" borderId="5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5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8" xfId="0" applyNumberFormat="1" applyFont="1" applyFill="1" applyBorder="1"/>
    <x:xf numFmtId="0" fontId="8" fillId="3" borderId="1" xfId="0" applyNumberFormat="1" applyFont="1" applyFill="1" applyBorder="1"/>
    <x:xf numFmtId="0" fontId="8" fillId="3" borderId="8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8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FCECCB"/>
        </x:patternFill>
      </x:fill>
    </x:dxf>
    <x:dxf>
      <x:font>
        <x:b/>
      </x:font>
      <x:fill>
        <x:patternFill patternType="solid">
          <x:bgColor rgb="FFDFF0E3"/>
        </x:patternFill>
      </x:fill>
    </x:dxf>
    <x:dxf>
      <x:font>
        <x:b/>
      </x:font>
      <x:fill>
        <x:patternFill patternType="solid">
          <x:bgColor rgb="FFDDF2E4"/>
        </x:patternFill>
      </x:fill>
    </x:dxf>
    <x:dxf>
      <x:font>
        <x:b/>
      </x:font>
      <x:fill>
        <x:patternFill patternType="solid">
          <x:bgColor rgb="FFFFF1C7"/>
        </x:patternFill>
      </x:fill>
    </x:dxf>
    <x:dxf>
      <x:font>
        <x:b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1c141038242cb" /><Relationship Type="http://schemas.openxmlformats.org/officeDocument/2006/relationships/theme" Target="/xl/theme/theme1.xml" Id="Rfbffa1ad824f43b3" /><Relationship Type="http://schemas.openxmlformats.org/officeDocument/2006/relationships/sharedStrings" Target="/xl/sharedStrings.xml" Id="Raca47168764e445a" /><Relationship Type="http://schemas.openxmlformats.org/officeDocument/2006/relationships/worksheet" Target="/xl/worksheets/sheet1.xml" Id="Rc52fedb1a9454946" /><Relationship Type="http://schemas.openxmlformats.org/officeDocument/2006/relationships/worksheet" Target="/xl/worksheets/sheet2.xml" Id="R73bdf94481194210" /><Relationship Type="http://schemas.openxmlformats.org/officeDocument/2006/relationships/worksheet" Target="/xl/worksheets/sheet3.xml" Id="Rb47d0f7d01e64d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378fc11e0a44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Bay Area Prospects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'Read Me'!$A$4:$A$7</c:f>
              <c:strCache>
                <c:ptCount val="0"/>
              </c:strCache>
            </c:strRef>
          </c:cat>
          <c:val>
            <c:numRef>
              <c:f>'Read Me'!$B$4:$B$7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378fc11e0a44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yAreaProspectsTable" displayName="BayAreaProspectsTable" ref="A4:H79" headerRowCount="1">
  <x:tableColumns count="8">
    <x:tableColumn id="1" name="Business Name"/>
    <x:tableColumn id="2" name="Owner Name"/>
    <x:tableColumn id="3" name="Location"/>
    <x:tableColumn id="4" name="Industry"/>
    <x:tableColumn id="5" name="Business Phone"/>
    <x:tableColumn id="6" name="Owner Phone"/>
    <x:tableColumn id="7" name="Email"/>
    <x:tableColumn id="8" name="Relevant Websites/Links"/>
  </x:tableColumns>
  <x:tableStyleInfo name="TableStyleMedium2" showRowStripes="1"/>
</x:table>
</file>

<file path=xl/tables/table2.xml><?xml version="1.0" encoding="utf-8"?>
<x:table xmlns:x="http://schemas.openxmlformats.org/spreadsheetml/2006/main" id="2" name="BayAreaScreeningTable" displayName="BayAreaScreeningTable" ref="A4:G79" headerRowCount="1">
  <x:tableColumns count="7">
    <x:tableColumn id="1" name="Business Name"/>
    <x:tableColumn id="2" name="Location"/>
    <x:tableColumn id="3" name="Industry"/>
    <x:tableColumn id="4" name="Revenue Screen"/>
    <x:tableColumn id="5" name="Confidence"/>
    <x:tableColumn id="6" name="Fit / Verification Note"/>
    <x:tableColumn id="7" name="Source Lin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c14d39ba4547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611e10a8b646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305becb12254424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0" hidden="0" customWidth="1"/>
    <x:col min="3" max="3" width="38" hidden="0" customWidth="1"/>
    <x:col min="4" max="4" width="29" hidden="0" customWidth="1"/>
    <x:col min="5" max="5" width="24" hidden="0" customWidth="1"/>
    <x:col min="6" max="6" width="36" hidden="0" customWidth="1"/>
    <x:col min="7" max="7" width="37" hidden="0" customWidth="1"/>
    <x:col min="8" max="8" width="70" hidden="0" customWidth="1"/>
  </x:cols>
  <x:sheetData>
    <x:row r="1" ht="30" customHeight="1">
      <x:c r="A1" s="4" t="str">
        <x:v>75 Bay Area Business Prospects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10" t="str">
        <x:v>Nine-county San Francisco Bay Area focus | 50 Commercial Janitorial | 15 Lightning/Surge Protection | 10 Drum/IBC/Tank Cleaning | Updated August 4, 2026</x:v>
      </x:c>
      <x:c r="B2" s="10"/>
      <x:c r="C2" s="10"/>
      <x:c r="D2" s="10"/>
      <x:c r="E2" s="10"/>
      <x:c r="F2" s="10"/>
      <x:c r="G2" s="10"/>
      <x:c r="H2" s="10"/>
    </x:row>
    <x:row r="4" ht="34" customHeight="1">
      <x:c r="A4" s="19" t="str">
        <x:v>Business Name</x:v>
      </x:c>
      <x:c r="B4" s="19" t="str">
        <x:v>Owner Name</x:v>
      </x:c>
      <x:c r="C4" s="19" t="str">
        <x:v>Location</x:v>
      </x:c>
      <x:c r="D4" s="19" t="str">
        <x:v>Industry</x:v>
      </x:c>
      <x:c r="E4" s="19" t="str">
        <x:v>Business Phone</x:v>
      </x:c>
      <x:c r="F4" s="19" t="str">
        <x:v>Owner Phone</x:v>
      </x:c>
      <x:c r="G4" s="19" t="str">
        <x:v>Email</x:v>
      </x:c>
      <x:c r="H4" s="19" t="str">
        <x:v>Relevant Websites/Links</x:v>
      </x:c>
    </x:row>
    <x:row r="5" ht="66" customHeight="1">
      <x:c r="A5" s="50" t="str">
        <x:v>Full Service Janitorial, Inc. dba Universal Janitorial</x:v>
      </x:c>
      <x:c r="B5" s="50" t="str">
        <x:v>Kevin Bridgeman (President; ownership not independently confirmed)</x:v>
      </x:c>
      <x:c r="C5" s="50" t="str">
        <x:v>302 Piercy Rd, San Jose, CA 95138</x:v>
      </x:c>
      <x:c r="D5" s="50" t="str">
        <x:v>Commercial Janitorial</x:v>
      </x:c>
      <x:c r="E5" s="50" t="str">
        <x:v>(408) 227-0600</x:v>
      </x:c>
      <x:c r="F5" s="50" t="str">
        <x:v>(408) 227-0600 (business line)</x:v>
      </x:c>
      <x:c r="G5" s="50" t="str">
        <x:v>Use official contact form</x:v>
      </x:c>
      <x:c r="H5" s="51" t="str">
        <x:v>Official: https://universaljanitorial.com/
Revenue: https://www.buzzfile.com/business/Universal-Janitorial-Maint-408-227-0600</x:v>
      </x:c>
    </x:row>
    <x:row r="6" ht="66" customHeight="1">
      <x:c r="A6" s="50" t="str">
        <x:v>Nexsentio, Inc.</x:v>
      </x:c>
      <x:c r="B6" s="50" t="str">
        <x:v>Danielle Bunel (Partner)</x:v>
      </x:c>
      <x:c r="C6" s="50" t="str">
        <x:v>1310 Ridder Park Dr, San Jose, CA 95131</x:v>
      </x:c>
      <x:c r="D6" s="50" t="str">
        <x:v>Commercial Janitorial</x:v>
      </x:c>
      <x:c r="E6" s="50" t="str">
        <x:v>(408) 392-9249</x:v>
      </x:c>
      <x:c r="F6" s="50" t="str">
        <x:v>(408) 392-9249 (business line)</x:v>
      </x:c>
      <x:c r="G6" s="50" t="str">
        <x:v>Use official contact form</x:v>
      </x:c>
      <x:c r="H6" s="51" t="str">
        <x:v>Official: https://www.nexsentio.com/
Revenue: https://www.buzzfile.com/business/Nexsentio%2C-Inc.-408-392-9249</x:v>
      </x:c>
    </x:row>
    <x:row r="7" ht="66" customHeight="1">
      <x:c r="A7" s="50" t="str">
        <x:v>Platinum Facilities Services, Inc.</x:v>
      </x:c>
      <x:c r="B7" s="50" t="str">
        <x:v>Roger K. Daniels (President)</x:v>
      </x:c>
      <x:c r="C7" s="50" t="str">
        <x:v>1530 Oakland Rd, San Jose, CA 95112</x:v>
      </x:c>
      <x:c r="D7" s="50" t="str">
        <x:v>Commercial Janitorial</x:v>
      </x:c>
      <x:c r="E7" s="50" t="str">
        <x:v>(408) 998-9004</x:v>
      </x:c>
      <x:c r="F7" s="50" t="str">
        <x:v>(408) 998-9004 (business line)</x:v>
      </x:c>
      <x:c r="G7" s="50" t="str">
        <x:v>Not publicly listed</x:v>
      </x:c>
      <x:c r="H7" s="51" t="str">
        <x:v>Official: https://www.buzzfile.com/business/Platinum-Facility-Services-408-998-9004</x:v>
      </x:c>
    </x:row>
    <x:row r="8" ht="66" customHeight="1">
      <x:c r="A8" s="50" t="str">
        <x:v>United Contract Services, Inc.</x:v>
      </x:c>
      <x:c r="B8" s="50" t="str">
        <x:v>Cyrus K. Anvari (President)</x:v>
      </x:c>
      <x:c r="C8" s="50" t="str">
        <x:v>1161 Ringwood Ct, San Jose, CA 95131</x:v>
      </x:c>
      <x:c r="D8" s="50" t="str">
        <x:v>Commercial Janitorial</x:v>
      </x:c>
      <x:c r="E8" s="50" t="str">
        <x:v>(408) 577-0105</x:v>
      </x:c>
      <x:c r="F8" s="50" t="str">
        <x:v>(408) 577-0105 (business line)</x:v>
      </x:c>
      <x:c r="G8" s="50" t="str">
        <x:v>Use official contact form</x:v>
      </x:c>
      <x:c r="H8" s="51" t="str">
        <x:v>Official: https://ucsteam.com/
Revenue: https://www.buzzfile.com/business/United-Contract-Services%2C-Inc.-408-577-0105</x:v>
      </x:c>
    </x:row>
    <x:row r="9" ht="66" customHeight="1">
      <x:c r="A9" s="50" t="str">
        <x:v>P&amp;D Ventures, Inc. dba JAN-PRO of Greater Bay Area</x:v>
      </x:c>
      <x:c r="B9" s="50" t="str">
        <x:v>David Rhodes (CEO)</x:v>
      </x:c>
      <x:c r="C9" s="50" t="str">
        <x:v>3875 Hopyard Rd, Pleasanton, CA 94588</x:v>
      </x:c>
      <x:c r="D9" s="50" t="str">
        <x:v>Commercial Janitorial</x:v>
      </x:c>
      <x:c r="E9" s="50" t="str">
        <x:v>(925) 474-2333</x:v>
      </x:c>
      <x:c r="F9" s="50" t="str">
        <x:v>(925) 474-2333 (business line)</x:v>
      </x:c>
      <x:c r="G9" s="50" t="str">
        <x:v>Use official contact form</x:v>
      </x:c>
      <x:c r="H9" s="51" t="str">
        <x:v>Official: https://jan-pro.com/san-francisco/
Revenue: https://www.buzzfile.com/business/Jan~Pro-Clg-Systems-of-Grter-B-925-474-2333</x:v>
      </x:c>
    </x:row>
    <x:row r="10" ht="66" customHeight="1">
      <x:c r="A10" s="50" t="str">
        <x:v>Trinity Building Services</x:v>
      </x:c>
      <x:c r="B10" s="50" t="str">
        <x:v>Mike A. Boschetto (President)</x:v>
      </x:c>
      <x:c r="C10" s="50" t="str">
        <x:v>1071 Sneath Ln, San Bruno, CA 94066</x:v>
      </x:c>
      <x:c r="D10" s="50" t="str">
        <x:v>Commercial Janitorial</x:v>
      </x:c>
      <x:c r="E10" s="50" t="str">
        <x:v>(650) 873-2121</x:v>
      </x:c>
      <x:c r="F10" s="50" t="str">
        <x:v>(650) 873-2121 (business line)</x:v>
      </x:c>
      <x:c r="G10" s="50" t="str">
        <x:v>Use official contact form</x:v>
      </x:c>
      <x:c r="H10" s="51" t="str">
        <x:v>Official: https://www.trinityservices.com/
Revenue: https://www.buzzfile.com/business/Trinity-Building-Services-650-873-2121</x:v>
      </x:c>
    </x:row>
    <x:row r="11" ht="66" customHeight="1">
      <x:c r="A11" s="50" t="str">
        <x:v>Universal Building Services and Supply Co. LLC</x:v>
      </x:c>
      <x:c r="B11" s="50" t="str">
        <x:v>Grace Brusseau (CEO)</x:v>
      </x:c>
      <x:c r="C11" s="50" t="str">
        <x:v>3120 Pierce St, Richmond, CA 94804</x:v>
      </x:c>
      <x:c r="D11" s="50" t="str">
        <x:v>Commercial Janitorial</x:v>
      </x:c>
      <x:c r="E11" s="50" t="str">
        <x:v>(510) 527-1078</x:v>
      </x:c>
      <x:c r="F11" s="50" t="str">
        <x:v>(510) 527-1078 (business line)</x:v>
      </x:c>
      <x:c r="G11" s="50" t="str">
        <x:v>Use official contact form</x:v>
      </x:c>
      <x:c r="H11" s="51" t="str">
        <x:v>Official: https://www.ubsco.com/
Revenue: https://www.buzzfile.com/business/Universal-510-527-1078</x:v>
      </x:c>
    </x:row>
    <x:row r="12" ht="66" customHeight="1">
      <x:c r="A12" s="50" t="str">
        <x:v>American Building Service, Inc.</x:v>
      </x:c>
      <x:c r="B12" s="50" t="str">
        <x:v>Rui D. T. Canha (President)</x:v>
      </x:c>
      <x:c r="C12" s="50" t="str">
        <x:v>4588 Crow Canyon Pl, Castro Valley, CA 94552</x:v>
      </x:c>
      <x:c r="D12" s="50" t="str">
        <x:v>Commercial Janitorial</x:v>
      </x:c>
      <x:c r="E12" s="50" t="str">
        <x:v>(510) 483-5120</x:v>
      </x:c>
      <x:c r="F12" s="50" t="str">
        <x:v>(510) 483-5120 (business line)</x:v>
      </x:c>
      <x:c r="G12" s="50" t="str">
        <x:v>Use official contact form</x:v>
      </x:c>
      <x:c r="H12" s="51" t="str">
        <x:v>Official: https://absbayarea.com/
Revenue: https://www.buzzfile.com/business/American-Building-Service%2C-Inc.-510-483-5120</x:v>
      </x:c>
    </x:row>
    <x:row r="13" ht="66" customHeight="1">
      <x:c r="A13" s="50" t="str">
        <x:v>Tetra Maintenance</x:v>
      </x:c>
      <x:c r="B13" s="50" t="str">
        <x:v>Leadership not publicly verified</x:v>
      </x:c>
      <x:c r="C13" s="50" t="str">
        <x:v>6023 College Ave, Suite 4, Oakland, CA 94618</x:v>
      </x:c>
      <x:c r="D13" s="50" t="str">
        <x:v>Commercial Janitorial</x:v>
      </x:c>
      <x:c r="E13" s="50" t="str">
        <x:v>(510) 597-7903</x:v>
      </x:c>
      <x:c r="F13" s="50" t="str">
        <x:v>(510) 597-7903 (business line)</x:v>
      </x:c>
      <x:c r="G13" s="50" t="str">
        <x:v>info@tetramaintenance.com</x:v>
      </x:c>
      <x:c r="H13" s="51" t="str">
        <x:v>Official: https://www.tetramaintenance.com/</x:v>
      </x:c>
    </x:row>
    <x:row r="14" ht="66" customHeight="1">
      <x:c r="A14" s="50" t="str">
        <x:v>Tadco Service</x:v>
      </x:c>
      <x:c r="B14" s="50" t="str">
        <x:v>Family-owned; owner name not publicly displayed</x:v>
      </x:c>
      <x:c r="C14" s="50" t="str">
        <x:v>568 S Almaden Ave, San Jose, CA 95110</x:v>
      </x:c>
      <x:c r="D14" s="50" t="str">
        <x:v>Commercial Janitorial</x:v>
      </x:c>
      <x:c r="E14" s="50" t="str">
        <x:v>(408) 275-6944</x:v>
      </x:c>
      <x:c r="F14" s="50" t="str">
        <x:v>(408) 275-6944 (business line)</x:v>
      </x:c>
      <x:c r="G14" s="50" t="str">
        <x:v>info@tadcosupply.com</x:v>
      </x:c>
      <x:c r="H14" s="51" t="str">
        <x:v>Official: https://www.tadcoservice.com/</x:v>
      </x:c>
    </x:row>
    <x:row r="15" ht="66" customHeight="1">
      <x:c r="A15" s="50" t="str">
        <x:v>MCC Building Maintenance</x:v>
      </x:c>
      <x:c r="B15" s="50" t="str">
        <x:v>Leadership not publicly verified</x:v>
      </x:c>
      <x:c r="C15" s="50" t="str">
        <x:v>San Rafael, CA 94901</x:v>
      </x:c>
      <x:c r="D15" s="50" t="str">
        <x:v>Commercial Janitorial</x:v>
      </x:c>
      <x:c r="E15" s="50" t="str">
        <x:v>(415) 883-1616</x:v>
      </x:c>
      <x:c r="F15" s="50" t="str">
        <x:v>(415) 883-1616 (business line)</x:v>
      </x:c>
      <x:c r="G15" s="50" t="str">
        <x:v>Use official contact form</x:v>
      </x:c>
      <x:c r="H15" s="51" t="str">
        <x:v>Official: https://www.mccbm.com/</x:v>
      </x:c>
    </x:row>
    <x:row r="16" ht="66" customHeight="1">
      <x:c r="A16" s="50" t="str">
        <x:v>Bay Cleaning LLC</x:v>
      </x:c>
      <x:c r="B16" s="50" t="str">
        <x:v>Kristina Guzman (Owner)</x:v>
      </x:c>
      <x:c r="C16" s="50" t="str">
        <x:v>San Francisco, CA</x:v>
      </x:c>
      <x:c r="D16" s="50" t="str">
        <x:v>Commercial Janitorial</x:v>
      </x:c>
      <x:c r="E16" s="50" t="str">
        <x:v>(415) 377-2072</x:v>
      </x:c>
      <x:c r="F16" s="50" t="str">
        <x:v>(415) 377-2072 (public owner mobile)</x:v>
      </x:c>
      <x:c r="G16" s="50" t="str">
        <x:v>Use official email link/contact form</x:v>
      </x:c>
      <x:c r="H16" s="51" t="str">
        <x:v>Official: https://www.baycleaningllc.com/</x:v>
      </x:c>
    </x:row>
    <x:row r="17" ht="66" customHeight="1">
      <x:c r="A17" s="50" t="str">
        <x:v>Bay Area Janitorial Force, Inc.</x:v>
      </x:c>
      <x:c r="B17" s="50" t="str">
        <x:v>Leadership not publicly verified</x:v>
      </x:c>
      <x:c r="C17" s="50" t="str">
        <x:v>San Francisco, CA</x:v>
      </x:c>
      <x:c r="D17" s="50" t="str">
        <x:v>Commercial Janitorial</x:v>
      </x:c>
      <x:c r="E17" s="50" t="str">
        <x:v>(415) 206-1039</x:v>
      </x:c>
      <x:c r="F17" s="50" t="str">
        <x:v>(415) 206-1039 (business line)</x:v>
      </x:c>
      <x:c r="G17" s="50" t="str">
        <x:v>Use official contact form</x:v>
      </x:c>
      <x:c r="H17" s="51" t="str">
        <x:v>Official: https://bajfi.com/</x:v>
      </x:c>
    </x:row>
    <x:row r="18" ht="66" customHeight="1">
      <x:c r="A18" s="50" t="str">
        <x:v>Experience Janitorial Inc.</x:v>
      </x:c>
      <x:c r="B18" s="50" t="str">
        <x:v>Leadership not publicly verified</x:v>
      </x:c>
      <x:c r="C18" s="50" t="str">
        <x:v>San Francisco Bay Area, CA</x:v>
      </x:c>
      <x:c r="D18" s="50" t="str">
        <x:v>Commercial Janitorial</x:v>
      </x:c>
      <x:c r="E18" s="50" t="str">
        <x:v>Not publicly verified — use website</x:v>
      </x:c>
      <x:c r="F18" s="50" t="str">
        <x:v>Business line not publicly verified</x:v>
      </x:c>
      <x:c r="G18" s="50" t="str">
        <x:v>Use official contact form</x:v>
      </x:c>
      <x:c r="H18" s="51" t="str">
        <x:v>Official: https://experiencejanitorial.com/</x:v>
      </x:c>
    </x:row>
    <x:row r="19" ht="66" customHeight="1">
      <x:c r="A19" s="50" t="str">
        <x:v>JRP Janitorial Services</x:v>
      </x:c>
      <x:c r="B19" s="50" t="str">
        <x:v>Leadership not publicly verified</x:v>
      </x:c>
      <x:c r="C19" s="50" t="str">
        <x:v>San Jose, CA</x:v>
      </x:c>
      <x:c r="D19" s="50" t="str">
        <x:v>Commercial Janitorial</x:v>
      </x:c>
      <x:c r="E19" s="50" t="str">
        <x:v>Not publicly verified — use website</x:v>
      </x:c>
      <x:c r="F19" s="50" t="str">
        <x:v>Business line not publicly verified</x:v>
      </x:c>
      <x:c r="G19" s="50" t="str">
        <x:v>Use official contact form</x:v>
      </x:c>
      <x:c r="H19" s="51" t="str">
        <x:v>Official: https://www.jrpjanitorialservices.com/</x:v>
      </x:c>
    </x:row>
    <x:row r="20" ht="66" customHeight="1">
      <x:c r="A20" s="50" t="str">
        <x:v>CA Janitorial Servicing Inc.</x:v>
      </x:c>
      <x:c r="B20" s="50" t="str">
        <x:v>Family-owned; owner name not publicly displayed</x:v>
      </x:c>
      <x:c r="C20" s="50" t="str">
        <x:v>San Jose, CA</x:v>
      </x:c>
      <x:c r="D20" s="50" t="str">
        <x:v>Commercial Janitorial</x:v>
      </x:c>
      <x:c r="E20" s="50" t="str">
        <x:v>Not publicly verified — use website</x:v>
      </x:c>
      <x:c r="F20" s="50" t="str">
        <x:v>Business line not publicly verified</x:v>
      </x:c>
      <x:c r="G20" s="50" t="str">
        <x:v>Use official contact form</x:v>
      </x:c>
      <x:c r="H20" s="51" t="str">
        <x:v>Official: https://cajanitorialsservicing.com/</x:v>
      </x:c>
    </x:row>
    <x:row r="21" ht="66" customHeight="1">
      <x:c r="A21" s="50" t="str">
        <x:v>San Francisco Janitorial Service</x:v>
      </x:c>
      <x:c r="B21" s="50" t="str">
        <x:v>Leadership not publicly verified</x:v>
      </x:c>
      <x:c r="C21" s="50" t="str">
        <x:v>San Francisco, CA</x:v>
      </x:c>
      <x:c r="D21" s="50" t="str">
        <x:v>Commercial Janitorial</x:v>
      </x:c>
      <x:c r="E21" s="50" t="str">
        <x:v>(800) 576-7313</x:v>
      </x:c>
      <x:c r="F21" s="50" t="str">
        <x:v>(800) 576-7313 (business line)</x:v>
      </x:c>
      <x:c r="G21" s="50" t="str">
        <x:v>info@sanfranciscojanitorialservice.com</x:v>
      </x:c>
      <x:c r="H21" s="51" t="str">
        <x:v>Official: https://sanfranciscojanitorialservice.com/</x:v>
      </x:c>
    </x:row>
    <x:row r="22" ht="66" customHeight="1">
      <x:c r="A22" s="50" t="str">
        <x:v>Premier Commercial Cleaning Solutions</x:v>
      </x:c>
      <x:c r="B22" s="50" t="str">
        <x:v>Leadership not publicly verified</x:v>
      </x:c>
      <x:c r="C22" s="50" t="str">
        <x:v>San Francisco Bay Area, CA</x:v>
      </x:c>
      <x:c r="D22" s="50" t="str">
        <x:v>Commercial Janitorial</x:v>
      </x:c>
      <x:c r="E22" s="50" t="str">
        <x:v>Not publicly verified — use website</x:v>
      </x:c>
      <x:c r="F22" s="50" t="str">
        <x:v>Business line not publicly verified</x:v>
      </x:c>
      <x:c r="G22" s="50" t="str">
        <x:v>Use official contact form</x:v>
      </x:c>
      <x:c r="H22" s="51" t="str">
        <x:v>Official: https://premierccs.com/</x:v>
      </x:c>
    </x:row>
    <x:row r="23" ht="66" customHeight="1">
      <x:c r="A23" s="50" t="str">
        <x:v>Deep Clean 365</x:v>
      </x:c>
      <x:c r="B23" s="50" t="str">
        <x:v>Leadership not publicly verified</x:v>
      </x:c>
      <x:c r="C23" s="50" t="str">
        <x:v>San Jose, CA 95119</x:v>
      </x:c>
      <x:c r="D23" s="50" t="str">
        <x:v>Commercial Janitorial</x:v>
      </x:c>
      <x:c r="E23" s="50" t="str">
        <x:v>Not publicly verified — use website</x:v>
      </x:c>
      <x:c r="F23" s="50" t="str">
        <x:v>Business line not publicly verified</x:v>
      </x:c>
      <x:c r="G23" s="50" t="str">
        <x:v>Use official contact form</x:v>
      </x:c>
      <x:c r="H23" s="51" t="str">
        <x:v>Official: https://www.deepclean365.com/</x:v>
      </x:c>
    </x:row>
    <x:row r="24" ht="66" customHeight="1">
      <x:c r="A24" s="50" t="str">
        <x:v>Shalom Clean Co.</x:v>
      </x:c>
      <x:c r="B24" s="50" t="str">
        <x:v>Family-owned; owner name not publicly displayed</x:v>
      </x:c>
      <x:c r="C24" s="50" t="str">
        <x:v>Hayward, CA</x:v>
      </x:c>
      <x:c r="D24" s="50" t="str">
        <x:v>Commercial Janitorial</x:v>
      </x:c>
      <x:c r="E24" s="50" t="str">
        <x:v>Not publicly verified — use website</x:v>
      </x:c>
      <x:c r="F24" s="50" t="str">
        <x:v>Business line not publicly verified</x:v>
      </x:c>
      <x:c r="G24" s="50" t="str">
        <x:v>Use official contact form</x:v>
      </x:c>
      <x:c r="H24" s="51" t="str">
        <x:v>Official: https://shalomcleanco.com/</x:v>
      </x:c>
    </x:row>
    <x:row r="25" ht="66" customHeight="1">
      <x:c r="A25" s="50" t="str">
        <x:v>SelectPro Janitorial</x:v>
      </x:c>
      <x:c r="B25" s="50" t="str">
        <x:v>Family-owned; owner name not publicly displayed</x:v>
      </x:c>
      <x:c r="C25" s="50" t="str">
        <x:v>San Francisco, CA</x:v>
      </x:c>
      <x:c r="D25" s="50" t="str">
        <x:v>Commercial Janitorial</x:v>
      </x:c>
      <x:c r="E25" s="50" t="str">
        <x:v>Not publicly verified — use website</x:v>
      </x:c>
      <x:c r="F25" s="50" t="str">
        <x:v>Business line not publicly verified</x:v>
      </x:c>
      <x:c r="G25" s="50" t="str">
        <x:v>Use official contact form</x:v>
      </x:c>
      <x:c r="H25" s="51" t="str">
        <x:v>Official: https://www.selectprojanitorial.com/</x:v>
      </x:c>
    </x:row>
    <x:row r="26" ht="66" customHeight="1">
      <x:c r="A26" s="50" t="str">
        <x:v>Professional Cleaning Systems</x:v>
      </x:c>
      <x:c r="B26" s="50" t="str">
        <x:v>Leadership not publicly verified</x:v>
      </x:c>
      <x:c r="C26" s="50" t="str">
        <x:v>San Jose, CA</x:v>
      </x:c>
      <x:c r="D26" s="50" t="str">
        <x:v>Commercial Janitorial</x:v>
      </x:c>
      <x:c r="E26" s="50" t="str">
        <x:v>Not publicly verified — use website</x:v>
      </x:c>
      <x:c r="F26" s="50" t="str">
        <x:v>Business line not publicly verified</x:v>
      </x:c>
      <x:c r="G26" s="50" t="str">
        <x:v>Use official contact form</x:v>
      </x:c>
      <x:c r="H26" s="51" t="str">
        <x:v>Official: https://www.professionalcleaningsystems.com/</x:v>
      </x:c>
    </x:row>
    <x:row r="27" ht="66" customHeight="1">
      <x:c r="A27" s="50" t="str">
        <x:v>Aztec Janitorial</x:v>
      </x:c>
      <x:c r="B27" s="50" t="str">
        <x:v>Leadership not publicly verified</x:v>
      </x:c>
      <x:c r="C27" s="50" t="str">
        <x:v>San Francisco, CA</x:v>
      </x:c>
      <x:c r="D27" s="50" t="str">
        <x:v>Commercial Janitorial</x:v>
      </x:c>
      <x:c r="E27" s="50" t="str">
        <x:v>Not publicly verified — use website</x:v>
      </x:c>
      <x:c r="F27" s="50" t="str">
        <x:v>Business line not publicly verified</x:v>
      </x:c>
      <x:c r="G27" s="50" t="str">
        <x:v>Use official contact form</x:v>
      </x:c>
      <x:c r="H27" s="51" t="str">
        <x:v>Official: https://aztecjanitorial.com/</x:v>
      </x:c>
    </x:row>
    <x:row r="28" ht="66" customHeight="1">
      <x:c r="A28" s="50" t="str">
        <x:v>SF Bay Area Janitorial Services Inc.</x:v>
      </x:c>
      <x:c r="B28" s="50" t="str">
        <x:v>Leadership not publicly verified</x:v>
      </x:c>
      <x:c r="C28" s="50" t="str">
        <x:v>San Francisco, CA</x:v>
      </x:c>
      <x:c r="D28" s="50" t="str">
        <x:v>Commercial Janitorial</x:v>
      </x:c>
      <x:c r="E28" s="50" t="str">
        <x:v>Not publicly verified — use website</x:v>
      </x:c>
      <x:c r="F28" s="50" t="str">
        <x:v>Business line not publicly verified</x:v>
      </x:c>
      <x:c r="G28" s="50" t="str">
        <x:v>Use official contact form</x:v>
      </x:c>
      <x:c r="H28" s="51" t="str">
        <x:v>Official: https://sfbayareajanitorialca.com/</x:v>
      </x:c>
    </x:row>
    <x:row r="29" ht="66" customHeight="1">
      <x:c r="A29" s="50" t="str">
        <x:v>CMC Janitorial</x:v>
      </x:c>
      <x:c r="B29" s="50" t="str">
        <x:v>Leadership not publicly verified</x:v>
      </x:c>
      <x:c r="C29" s="50" t="str">
        <x:v>San Jose, CA</x:v>
      </x:c>
      <x:c r="D29" s="50" t="str">
        <x:v>Commercial Janitorial</x:v>
      </x:c>
      <x:c r="E29" s="50" t="str">
        <x:v>Not publicly verified — use website</x:v>
      </x:c>
      <x:c r="F29" s="50" t="str">
        <x:v>Business line not publicly verified</x:v>
      </x:c>
      <x:c r="G29" s="50" t="str">
        <x:v>Use official contact form</x:v>
      </x:c>
      <x:c r="H29" s="51" t="str">
        <x:v>Official: https://www.cmcjanitorialbayarea.com/</x:v>
      </x:c>
    </x:row>
    <x:row r="30" ht="66" customHeight="1">
      <x:c r="A30" s="50" t="str">
        <x:v>Bay Team Janitorial Services LLC</x:v>
      </x:c>
      <x:c r="B30" s="50" t="str">
        <x:v>Leadership not publicly verified</x:v>
      </x:c>
      <x:c r="C30" s="50" t="str">
        <x:v>Oakland, CA</x:v>
      </x:c>
      <x:c r="D30" s="50" t="str">
        <x:v>Commercial Janitorial</x:v>
      </x:c>
      <x:c r="E30" s="50" t="str">
        <x:v>(510) 927-0026</x:v>
      </x:c>
      <x:c r="F30" s="50" t="str">
        <x:v>(510) 927-0026 (business line)</x:v>
      </x:c>
      <x:c r="G30" s="50" t="str">
        <x:v>Use official contact form</x:v>
      </x:c>
      <x:c r="H30" s="51" t="str">
        <x:v>Official: https://janitorialserviceoaklandca.com/</x:v>
      </x:c>
    </x:row>
    <x:row r="31" ht="66" customHeight="1">
      <x:c r="A31" s="50" t="str">
        <x:v>Pedroza's Janitorial Services</x:v>
      </x:c>
      <x:c r="B31" s="50" t="str">
        <x:v>Pedroza family; exact owner not independently verified</x:v>
      </x:c>
      <x:c r="C31" s="50" t="str">
        <x:v>Oakland, CA</x:v>
      </x:c>
      <x:c r="D31" s="50" t="str">
        <x:v>Commercial Janitorial</x:v>
      </x:c>
      <x:c r="E31" s="50" t="str">
        <x:v>Not publicly verified — use website</x:v>
      </x:c>
      <x:c r="F31" s="50" t="str">
        <x:v>Business line not publicly verified</x:v>
      </x:c>
      <x:c r="G31" s="50" t="str">
        <x:v>Use official contact form</x:v>
      </x:c>
      <x:c r="H31" s="51" t="str">
        <x:v>Official: https://www.janitorialserviceoakland.com/</x:v>
      </x:c>
    </x:row>
    <x:row r="32" ht="66" customHeight="1">
      <x:c r="A32" s="50" t="str">
        <x:v>Pro Clean Janitorial Facility Services</x:v>
      </x:c>
      <x:c r="B32" s="50" t="str">
        <x:v>Leadership not publicly verified</x:v>
      </x:c>
      <x:c r="C32" s="50" t="str">
        <x:v>San Jose / East Bay, CA</x:v>
      </x:c>
      <x:c r="D32" s="50" t="str">
        <x:v>Commercial Janitorial</x:v>
      </x:c>
      <x:c r="E32" s="50" t="str">
        <x:v>Not publicly verified — use website</x:v>
      </x:c>
      <x:c r="F32" s="50" t="str">
        <x:v>Business line not publicly verified</x:v>
      </x:c>
      <x:c r="G32" s="50" t="str">
        <x:v>Use official contact form</x:v>
      </x:c>
      <x:c r="H32" s="51" t="str">
        <x:v>Official: https://www.procleanfacilityservices.com/</x:v>
      </x:c>
    </x:row>
    <x:row r="33" ht="66" customHeight="1">
      <x:c r="A33" s="50" t="str">
        <x:v>Herces Janitorial Services</x:v>
      </x:c>
      <x:c r="B33" s="50" t="str">
        <x:v>Leadership not publicly verified</x:v>
      </x:c>
      <x:c r="C33" s="50" t="str">
        <x:v>San Jose, CA</x:v>
      </x:c>
      <x:c r="D33" s="50" t="str">
        <x:v>Commercial Janitorial</x:v>
      </x:c>
      <x:c r="E33" s="50" t="str">
        <x:v>Not publicly verified — use website</x:v>
      </x:c>
      <x:c r="F33" s="50" t="str">
        <x:v>Business line not publicly verified</x:v>
      </x:c>
      <x:c r="G33" s="50" t="str">
        <x:v>Use official contact form</x:v>
      </x:c>
      <x:c r="H33" s="51" t="str">
        <x:v>Official: https://hercesjanitorial.com/</x:v>
      </x:c>
    </x:row>
    <x:row r="34" ht="66" customHeight="1">
      <x:c r="A34" s="50" t="str">
        <x:v>Town &amp; Country Office Cleaning</x:v>
      </x:c>
      <x:c r="B34" s="50" t="str">
        <x:v>Leadership not publicly verified</x:v>
      </x:c>
      <x:c r="C34" s="50" t="str">
        <x:v>San Jose, CA 95119</x:v>
      </x:c>
      <x:c r="D34" s="50" t="str">
        <x:v>Commercial Janitorial</x:v>
      </x:c>
      <x:c r="E34" s="50" t="str">
        <x:v>Not publicly verified — use website</x:v>
      </x:c>
      <x:c r="F34" s="50" t="str">
        <x:v>Business line not publicly verified</x:v>
      </x:c>
      <x:c r="G34" s="50" t="str">
        <x:v>Use official contact form</x:v>
      </x:c>
      <x:c r="H34" s="51" t="str">
        <x:v>Official: https://tcocleaning.com/</x:v>
      </x:c>
    </x:row>
    <x:row r="35" ht="66" customHeight="1">
      <x:c r="A35" s="50" t="str">
        <x:v>Brightline Janitorial</x:v>
      </x:c>
      <x:c r="B35" s="50" t="str">
        <x:v>Leadership not publicly verified</x:v>
      </x:c>
      <x:c r="C35" s="50" t="str">
        <x:v>Oakland, CA</x:v>
      </x:c>
      <x:c r="D35" s="50" t="str">
        <x:v>Commercial Janitorial</x:v>
      </x:c>
      <x:c r="E35" s="50" t="str">
        <x:v>Not publicly verified — use website</x:v>
      </x:c>
      <x:c r="F35" s="50" t="str">
        <x:v>Business line not publicly verified</x:v>
      </x:c>
      <x:c r="G35" s="50" t="str">
        <x:v>Use official contact form</x:v>
      </x:c>
      <x:c r="H35" s="51" t="str">
        <x:v>Official: https://www.oaklandjanitorial.com/</x:v>
      </x:c>
    </x:row>
    <x:row r="36" ht="66" customHeight="1">
      <x:c r="A36" s="50" t="str">
        <x:v>LFN Facility Service / CleanPro Oakland</x:v>
      </x:c>
      <x:c r="B36" s="50" t="str">
        <x:v>Leadership not publicly verified</x:v>
      </x:c>
      <x:c r="C36" s="50" t="str">
        <x:v>Oakland, CA 94612</x:v>
      </x:c>
      <x:c r="D36" s="50" t="str">
        <x:v>Commercial Janitorial</x:v>
      </x:c>
      <x:c r="E36" s="50" t="str">
        <x:v>Not publicly verified — use website</x:v>
      </x:c>
      <x:c r="F36" s="50" t="str">
        <x:v>Business line not publicly verified</x:v>
      </x:c>
      <x:c r="G36" s="50" t="str">
        <x:v>Use official contact form</x:v>
      </x:c>
      <x:c r="H36" s="51" t="str">
        <x:v>Official: https://lfncommercialcleaning.com/</x:v>
      </x:c>
    </x:row>
    <x:row r="37" ht="66" customHeight="1">
      <x:c r="A37" s="50" t="str">
        <x:v>Centurion Janitorial Services</x:v>
      </x:c>
      <x:c r="B37" s="50" t="str">
        <x:v>Leadership not publicly verified</x:v>
      </x:c>
      <x:c r="C37" s="50" t="str">
        <x:v>San Mateo County, CA</x:v>
      </x:c>
      <x:c r="D37" s="50" t="str">
        <x:v>Commercial Janitorial</x:v>
      </x:c>
      <x:c r="E37" s="50" t="str">
        <x:v>Not publicly verified — use website</x:v>
      </x:c>
      <x:c r="F37" s="50" t="str">
        <x:v>Business line not publicly verified</x:v>
      </x:c>
      <x:c r="G37" s="50" t="str">
        <x:v>Use official contact form</x:v>
      </x:c>
      <x:c r="H37" s="51" t="str">
        <x:v>Official: https://www.centurionsvs.com/</x:v>
      </x:c>
    </x:row>
    <x:row r="38" ht="66" customHeight="1">
      <x:c r="A38" s="50" t="str">
        <x:v>Easy Life Cleaning Services</x:v>
      </x:c>
      <x:c r="B38" s="50" t="str">
        <x:v>Leadership not publicly verified</x:v>
      </x:c>
      <x:c r="C38" s="50" t="str">
        <x:v>101 Pringle Ave, Walnut Creek, CA 94596</x:v>
      </x:c>
      <x:c r="D38" s="50" t="str">
        <x:v>Commercial Janitorial</x:v>
      </x:c>
      <x:c r="E38" s="50" t="str">
        <x:v>(510) 672-9489</x:v>
      </x:c>
      <x:c r="F38" s="50" t="str">
        <x:v>(510) 672-9489 (business line)</x:v>
      </x:c>
      <x:c r="G38" s="50" t="str">
        <x:v>care@easylifesolution.com</x:v>
      </x:c>
      <x:c r="H38" s="51" t="str">
        <x:v>Official: https://easylifesolution.com/commercial-cleaning/</x:v>
      </x:c>
    </x:row>
    <x:row r="39" ht="66" customHeight="1">
      <x:c r="A39" s="50" t="str">
        <x:v>All Bay Property Services</x:v>
      </x:c>
      <x:c r="B39" s="50" t="str">
        <x:v>Jonas Lewis (Founder &amp; CEO)</x:v>
      </x:c>
      <x:c r="C39" s="50" t="str">
        <x:v>1601 N Main St, Suite 101-232, Walnut Creek, CA 94597</x:v>
      </x:c>
      <x:c r="D39" s="50" t="str">
        <x:v>Commercial Janitorial</x:v>
      </x:c>
      <x:c r="E39" s="50" t="str">
        <x:v>(925) 595-3071</x:v>
      </x:c>
      <x:c r="F39" s="50" t="str">
        <x:v>(925) 595-3071 (business line)</x:v>
      </x:c>
      <x:c r="G39" s="50" t="str">
        <x:v>allbayps@hotmail.com</x:v>
      </x:c>
      <x:c r="H39" s="51" t="str">
        <x:v>Official: https://allbaypropertyservices.com/</x:v>
      </x:c>
    </x:row>
    <x:row r="40" ht="66" customHeight="1">
      <x:c r="A40" s="50" t="str">
        <x:v>Fremont Janitorial LLC</x:v>
      </x:c>
      <x:c r="B40" s="50" t="str">
        <x:v>Ricardo Cortez and Soledad Cortez (Owners)</x:v>
      </x:c>
      <x:c r="C40" s="50" t="str">
        <x:v>40119 Blanchard St, Fremont, CA 94538</x:v>
      </x:c>
      <x:c r="D40" s="50" t="str">
        <x:v>Commercial Janitorial</x:v>
      </x:c>
      <x:c r="E40" s="50" t="str">
        <x:v>(510) 372-0699</x:v>
      </x:c>
      <x:c r="F40" s="50" t="str">
        <x:v>(510) 478-5995 (public alternate business number)</x:v>
      </x:c>
      <x:c r="G40" s="50" t="str">
        <x:v>fremontjanitorial@gmail.com</x:v>
      </x:c>
      <x:c r="H40" s="51" t="str">
        <x:v>Official: https://fremontjanitorial.com/</x:v>
      </x:c>
    </x:row>
    <x:row r="41" ht="66" customHeight="1">
      <x:c r="A41" s="50" t="str">
        <x:v>QG Cleaning</x:v>
      </x:c>
      <x:c r="B41" s="50" t="str">
        <x:v>Leadership not publicly verified</x:v>
      </x:c>
      <x:c r="C41" s="50" t="str">
        <x:v>Fremont, CA</x:v>
      </x:c>
      <x:c r="D41" s="50" t="str">
        <x:v>Commercial Janitorial</x:v>
      </x:c>
      <x:c r="E41" s="50" t="str">
        <x:v>(510) 413-8184</x:v>
      </x:c>
      <x:c r="F41" s="50" t="str">
        <x:v>(510) 413-8184 (business line)</x:v>
      </x:c>
      <x:c r="G41" s="50" t="str">
        <x:v>Use official contact form</x:v>
      </x:c>
      <x:c r="H41" s="51" t="str">
        <x:v>Official: https://www.qgcleaning.com/</x:v>
      </x:c>
    </x:row>
    <x:row r="42" ht="66" customHeight="1">
      <x:c r="A42" s="50" t="str">
        <x:v>Lenis Maintenance Services, Inc.</x:v>
      </x:c>
      <x:c r="B42" s="50" t="str">
        <x:v>Leadership not publicly verified</x:v>
      </x:c>
      <x:c r="C42" s="50" t="str">
        <x:v>San Mateo County, CA</x:v>
      </x:c>
      <x:c r="D42" s="50" t="str">
        <x:v>Commercial Janitorial</x:v>
      </x:c>
      <x:c r="E42" s="50" t="str">
        <x:v>(650) 474-1666</x:v>
      </x:c>
      <x:c r="F42" s="50" t="str">
        <x:v>(650) 474-1666 (business line)</x:v>
      </x:c>
      <x:c r="G42" s="50" t="str">
        <x:v>Use official contact form</x:v>
      </x:c>
      <x:c r="H42" s="51" t="str">
        <x:v>Official: https://lenis-maint.com/</x:v>
      </x:c>
    </x:row>
    <x:row r="43" ht="66" customHeight="1">
      <x:c r="A43" s="50" t="str">
        <x:v>SwiftClean Company</x:v>
      </x:c>
      <x:c r="B43" s="50" t="str">
        <x:v>Leadership not publicly verified</x:v>
      </x:c>
      <x:c r="C43" s="50" t="str">
        <x:v>Redwood City, CA 94063</x:v>
      </x:c>
      <x:c r="D43" s="50" t="str">
        <x:v>Commercial Janitorial</x:v>
      </x:c>
      <x:c r="E43" s="50" t="str">
        <x:v>(408) 478-5605</x:v>
      </x:c>
      <x:c r="F43" s="50" t="str">
        <x:v>(408) 478-5605 (business line)</x:v>
      </x:c>
      <x:c r="G43" s="50" t="str">
        <x:v>contact@swiftcleancompany.com</x:v>
      </x:c>
      <x:c r="H43" s="51" t="str">
        <x:v>Official: https://www.swiftcleancompany.com/</x:v>
      </x:c>
    </x:row>
    <x:row r="44" ht="66" customHeight="1">
      <x:c r="A44" s="50" t="str">
        <x:v>True Wave Facility Services</x:v>
      </x:c>
      <x:c r="B44" s="50" t="str">
        <x:v>Leadership not publicly verified</x:v>
      </x:c>
      <x:c r="C44" s="50" t="str">
        <x:v>San Mateo County, CA</x:v>
      </x:c>
      <x:c r="D44" s="50" t="str">
        <x:v>Commercial Janitorial</x:v>
      </x:c>
      <x:c r="E44" s="50" t="str">
        <x:v>Not publicly verified — use website</x:v>
      </x:c>
      <x:c r="F44" s="50" t="str">
        <x:v>Business line not publicly verified</x:v>
      </x:c>
      <x:c r="G44" s="50" t="str">
        <x:v>Use official contact form</x:v>
      </x:c>
      <x:c r="H44" s="51" t="str">
        <x:v>Official: https://www.truewavefacility.com/</x:v>
      </x:c>
    </x:row>
    <x:row r="45" ht="66" customHeight="1">
      <x:c r="A45" s="50" t="str">
        <x:v>Cappstone, Inc.</x:v>
      </x:c>
      <x:c r="B45" s="50" t="str">
        <x:v>Leadership not publicly verified</x:v>
      </x:c>
      <x:c r="C45" s="50" t="str">
        <x:v>San Francisco Bay Area, CA</x:v>
      </x:c>
      <x:c r="D45" s="50" t="str">
        <x:v>Commercial Janitorial</x:v>
      </x:c>
      <x:c r="E45" s="50" t="str">
        <x:v>Not publicly verified — use website</x:v>
      </x:c>
      <x:c r="F45" s="50" t="str">
        <x:v>Business line not publicly verified</x:v>
      </x:c>
      <x:c r="G45" s="50" t="str">
        <x:v>Use official contact form</x:v>
      </x:c>
      <x:c r="H45" s="51" t="str">
        <x:v>Official: https://cappstone.com/</x:v>
      </x:c>
    </x:row>
    <x:row r="46" ht="66" customHeight="1">
      <x:c r="A46" s="50" t="str">
        <x:v>Tri-Valley Janitorial Services</x:v>
      </x:c>
      <x:c r="B46" s="50" t="str">
        <x:v>Amy (public business contact; surname not displayed)</x:v>
      </x:c>
      <x:c r="C46" s="50" t="str">
        <x:v>185 Contractors St, Box 6, Livermore, CA 94551</x:v>
      </x:c>
      <x:c r="D46" s="50" t="str">
        <x:v>Commercial Janitorial</x:v>
      </x:c>
      <x:c r="E46" s="50" t="str">
        <x:v>(925) 292-7072</x:v>
      </x:c>
      <x:c r="F46" s="50" t="str">
        <x:v>(925) 292-7072 (business line)</x:v>
      </x:c>
      <x:c r="G46" s="50" t="str">
        <x:v>amy@tvjan.com</x:v>
      </x:c>
      <x:c r="H46" s="51" t="str">
        <x:v>Official: https://tvjan.com/</x:v>
      </x:c>
    </x:row>
    <x:row r="47" ht="66" customHeight="1">
      <x:c r="A47" s="50" t="str">
        <x:v>Vista Universal, Inc.</x:v>
      </x:c>
      <x:c r="B47" s="50" t="str">
        <x:v>David C. Schneider (President)</x:v>
      </x:c>
      <x:c r="C47" s="50" t="str">
        <x:v>2474 American Ave, Hayward, CA 94545</x:v>
      </x:c>
      <x:c r="D47" s="50" t="str">
        <x:v>Commercial Janitorial</x:v>
      </x:c>
      <x:c r="E47" s="50" t="str">
        <x:v>(510) 785-6166</x:v>
      </x:c>
      <x:c r="F47" s="50" t="str">
        <x:v>(510) 785-6166 (business line)</x:v>
      </x:c>
      <x:c r="G47" s="50" t="str">
        <x:v>Use official contact form</x:v>
      </x:c>
      <x:c r="H47" s="51" t="str">
        <x:v>Official: https://www.vistau.com/
Revenue: https://www.buzzfile.com/business/Vista-Universal%2C-Inc.-510-785-6166</x:v>
      </x:c>
    </x:row>
    <x:row r="48" ht="66" customHeight="1">
      <x:c r="A48" s="50" t="str">
        <x:v>California Janitorial Supply Corp.</x:v>
      </x:c>
      <x:c r="B48" s="50" t="str">
        <x:v>Michael Chiappe (CEO)</x:v>
      </x:c>
      <x:c r="C48" s="50" t="str">
        <x:v>2040 Junction Ave, San Jose, CA 95131</x:v>
      </x:c>
      <x:c r="D48" s="50" t="str">
        <x:v>Commercial Janitorial</x:v>
      </x:c>
      <x:c r="E48" s="50" t="str">
        <x:v>(408) 286-8141</x:v>
      </x:c>
      <x:c r="F48" s="50" t="str">
        <x:v>(408) 286-8141 (business line)</x:v>
      </x:c>
      <x:c r="G48" s="50" t="str">
        <x:v>Use official contact form</x:v>
      </x:c>
      <x:c r="H48" s="51" t="str">
        <x:v>Official: https://www.caljaninc.com/
Revenue: https://www.buzzfile.com/business/Chiappe-Janitorial-Supply-Co-408-286-8141</x:v>
      </x:c>
    </x:row>
    <x:row r="49" ht="66" customHeight="1">
      <x:c r="A49" s="50" t="str">
        <x:v>US Janitorial Inc.</x:v>
      </x:c>
      <x:c r="B49" s="50" t="str">
        <x:v>Kal Obied (Principal)</x:v>
      </x:c>
      <x:c r="C49" s="50" t="str">
        <x:v>201 Spear St, San Francisco, CA 94105</x:v>
      </x:c>
      <x:c r="D49" s="50" t="str">
        <x:v>Commercial Janitorial</x:v>
      </x:c>
      <x:c r="E49" s="50" t="str">
        <x:v>(415) 684-3300</x:v>
      </x:c>
      <x:c r="F49" s="50" t="str">
        <x:v>(415) 684-3300 (business line)</x:v>
      </x:c>
      <x:c r="G49" s="50" t="str">
        <x:v>Use official contact form</x:v>
      </x:c>
      <x:c r="H49" s="51" t="str">
        <x:v>Official: https://www.usjanitorialinc.com/
Revenue: https://www.buzzfile.com/business/US-Janitorial-Inc-415-684-3300</x:v>
      </x:c>
    </x:row>
    <x:row r="50" ht="66" customHeight="1">
      <x:c r="A50" s="50" t="str">
        <x:v>Paradigm Janitorial Services LLC</x:v>
      </x:c>
      <x:c r="B50" s="50" t="str">
        <x:v>Zeray Berhane (Owner)</x:v>
      </x:c>
      <x:c r="C50" s="50" t="str">
        <x:v>207 Peabody St, San Francisco, CA 94134</x:v>
      </x:c>
      <x:c r="D50" s="50" t="str">
        <x:v>Commercial Janitorial</x:v>
      </x:c>
      <x:c r="E50" s="50" t="str">
        <x:v>(415) 254-1651</x:v>
      </x:c>
      <x:c r="F50" s="50" t="str">
        <x:v>(415) 254-1651 (public owner/business mobile)</x:v>
      </x:c>
      <x:c r="G50" s="50" t="str">
        <x:v>Use official contact form</x:v>
      </x:c>
      <x:c r="H50" s="51" t="str">
        <x:v>Official: https://www.paradigmjanitorial.com/
Revenue: https://www.buzzfile.com/business/Paradigm-Janitorial-Services-LLC-415-254-1651</x:v>
      </x:c>
    </x:row>
    <x:row r="51" ht="66" customHeight="1">
      <x:c r="A51" s="50" t="str">
        <x:v>Crystal Janitorial Service, Inc.</x:v>
      </x:c>
      <x:c r="B51" s="50" t="str">
        <x:v>Daniel Morales (Director)</x:v>
      </x:c>
      <x:c r="C51" s="50" t="str">
        <x:v>2655 Pacer Ln, San Jose, CA 95111</x:v>
      </x:c>
      <x:c r="D51" s="50" t="str">
        <x:v>Commercial Janitorial</x:v>
      </x:c>
      <x:c r="E51" s="50" t="str">
        <x:v>(650) 364-1793</x:v>
      </x:c>
      <x:c r="F51" s="50" t="str">
        <x:v>(650) 364-1793 (business line)</x:v>
      </x:c>
      <x:c r="G51" s="50" t="str">
        <x:v>Use official contact form</x:v>
      </x:c>
      <x:c r="H51" s="51" t="str">
        <x:v>Official: https://www.crystaljanitorial.com/
Revenue: https://www.buzzfile.com/business/Crystal-Janitorial-Service%2C-Inc.-650-364-1793</x:v>
      </x:c>
    </x:row>
    <x:row r="52" ht="66" customHeight="1">
      <x:c r="A52" s="50" t="str">
        <x:v>Milan Cleaning Company, LLC</x:v>
      </x:c>
      <x:c r="B52" s="50" t="str">
        <x:v>Adriana Torres (CEO)</x:v>
      </x:c>
      <x:c r="C52" s="50" t="str">
        <x:v>304 Fairmount Ave, Oakland, CA 94611</x:v>
      </x:c>
      <x:c r="D52" s="50" t="str">
        <x:v>Commercial Janitorial</x:v>
      </x:c>
      <x:c r="E52" s="50" t="str">
        <x:v>(510) 759-6310</x:v>
      </x:c>
      <x:c r="F52" s="50" t="str">
        <x:v>(510) 759-6310 (business line)</x:v>
      </x:c>
      <x:c r="G52" s="50" t="str">
        <x:v>Not publicly listed</x:v>
      </x:c>
      <x:c r="H52" s="51" t="str">
        <x:v>Official: https://www.buzzfile.com/business/Milan-Cleaning-Company%2C-LLC-510-759-6310</x:v>
      </x:c>
    </x:row>
    <x:row r="53" ht="66" customHeight="1">
      <x:c r="A53" s="50" t="str">
        <x:v>B &amp; G Janitorial Services</x:v>
      </x:c>
      <x:c r="B53" s="50" t="str">
        <x:v>Christopher Benjamin (Owner)</x:v>
      </x:c>
      <x:c r="C53" s="50" t="str">
        <x:v>498 25th St, Oakland, CA 94612</x:v>
      </x:c>
      <x:c r="D53" s="50" t="str">
        <x:v>Commercial Janitorial</x:v>
      </x:c>
      <x:c r="E53" s="50" t="str">
        <x:v>(510) 517-2497</x:v>
      </x:c>
      <x:c r="F53" s="50" t="str">
        <x:v>(510) 517-2497 (public owner/business mobile)</x:v>
      </x:c>
      <x:c r="G53" s="50" t="str">
        <x:v>Not publicly listed</x:v>
      </x:c>
      <x:c r="H53" s="51" t="str">
        <x:v>Official: https://www.buzzfile.com/business/B.And.G-Janitorial-Services-510-517-2497</x:v>
      </x:c>
    </x:row>
    <x:row r="54" ht="66" customHeight="1">
      <x:c r="A54" s="50" t="str">
        <x:v>Master Clean 4U</x:v>
      </x:c>
      <x:c r="B54" s="50" t="str">
        <x:v>Leadership not publicly verified</x:v>
      </x:c>
      <x:c r="C54" s="50" t="str">
        <x:v>647 Tully Rd, Suite 3, San Jose, CA 95111</x:v>
      </x:c>
      <x:c r="D54" s="50" t="str">
        <x:v>Commercial Janitorial</x:v>
      </x:c>
      <x:c r="E54" s="50" t="str">
        <x:v>Not publicly verified — use website</x:v>
      </x:c>
      <x:c r="F54" s="50" t="str">
        <x:v>Business line not publicly verified</x:v>
      </x:c>
      <x:c r="G54" s="50" t="str">
        <x:v>Use official contact form</x:v>
      </x:c>
      <x:c r="H54" s="51" t="str">
        <x:v>Official: https://masterclean4u.com/</x:v>
      </x:c>
    </x:row>
    <x:row r="55" ht="66" customHeight="1">
      <x:c r="A55" s="54" t="str">
        <x:v>Jackson Electric</x:v>
      </x:c>
      <x:c r="B55" s="54" t="str">
        <x:v>Family-owned; leadership not publicly verified</x:v>
      </x:c>
      <x:c r="C55" s="54" t="str">
        <x:v>San Jose, CA</x:v>
      </x:c>
      <x:c r="D55" s="54" t="str">
        <x:v>Lightning / Surge Protection</x:v>
      </x:c>
      <x:c r="E55" s="54" t="str">
        <x:v>(408) 266-5351</x:v>
      </x:c>
      <x:c r="F55" s="54" t="str">
        <x:v>(408) 266-5351 (business line)</x:v>
      </x:c>
      <x:c r="G55" s="54" t="str">
        <x:v>Use official contact form</x:v>
      </x:c>
      <x:c r="H55" s="55" t="str">
        <x:v>Official: https://jacksonelectric.com/</x:v>
      </x:c>
    </x:row>
    <x:row r="56" ht="66" customHeight="1">
      <x:c r="A56" s="54" t="str">
        <x:v>Wooding Electric</x:v>
      </x:c>
      <x:c r="B56" s="54" t="str">
        <x:v>Leadership not publicly verified</x:v>
      </x:c>
      <x:c r="C56" s="54" t="str">
        <x:v>3390 De La Cruz Blvd, Santa Clara, CA 95054</x:v>
      </x:c>
      <x:c r="D56" s="54" t="str">
        <x:v>Lightning / Surge Protection</x:v>
      </x:c>
      <x:c r="E56" s="54" t="str">
        <x:v>(408) 748-9663</x:v>
      </x:c>
      <x:c r="F56" s="54" t="str">
        <x:v>(408) 748-9663 (business line)</x:v>
      </x:c>
      <x:c r="G56" s="54" t="str">
        <x:v>Use official email/contact form</x:v>
      </x:c>
      <x:c r="H56" s="55" t="str">
        <x:v>Official: https://www.woodingelectric.com/</x:v>
      </x:c>
    </x:row>
    <x:row r="57" ht="66" customHeight="1">
      <x:c r="A57" s="54" t="str">
        <x:v>CA Electrical Group 24/7</x:v>
      </x:c>
      <x:c r="B57" s="54" t="str">
        <x:v>Leadership not publicly verified</x:v>
      </x:c>
      <x:c r="C57" s="54" t="str">
        <x:v>780 Montague Expy, Suite 203, San Jose, CA 95131</x:v>
      </x:c>
      <x:c r="D57" s="54" t="str">
        <x:v>Lightning / Surge Protection</x:v>
      </x:c>
      <x:c r="E57" s="54" t="str">
        <x:v>Not publicly verified — use website</x:v>
      </x:c>
      <x:c r="F57" s="54" t="str">
        <x:v>Business line not publicly verified</x:v>
      </x:c>
      <x:c r="G57" s="54" t="str">
        <x:v>Use official contact form</x:v>
      </x:c>
      <x:c r="H57" s="55" t="str">
        <x:v>Official: https://caelectricalgroup.com/</x:v>
      </x:c>
    </x:row>
    <x:row r="58" ht="66" customHeight="1">
      <x:c r="A58" s="54" t="str">
        <x:v>Safety First Electric</x:v>
      </x:c>
      <x:c r="B58" s="54" t="str">
        <x:v>Leadership not publicly verified</x:v>
      </x:c>
      <x:c r="C58" s="54" t="str">
        <x:v>San Jose, CA</x:v>
      </x:c>
      <x:c r="D58" s="54" t="str">
        <x:v>Lightning / Surge Protection</x:v>
      </x:c>
      <x:c r="E58" s="54" t="str">
        <x:v>Not publicly verified — use website</x:v>
      </x:c>
      <x:c r="F58" s="54" t="str">
        <x:v>Business line not publicly verified</x:v>
      </x:c>
      <x:c r="G58" s="54" t="str">
        <x:v>Use official contact form</x:v>
      </x:c>
      <x:c r="H58" s="55" t="str">
        <x:v>Official: https://www.mysafetyfirstelectric.com/</x:v>
      </x:c>
    </x:row>
    <x:row r="59" ht="66" customHeight="1">
      <x:c r="A59" s="54" t="str">
        <x:v>O.T. Electric</x:v>
      </x:c>
      <x:c r="B59" s="54" t="str">
        <x:v>Family-owned; owner name not publicly displayed</x:v>
      </x:c>
      <x:c r="C59" s="54" t="str">
        <x:v>Oakland, CA</x:v>
      </x:c>
      <x:c r="D59" s="54" t="str">
        <x:v>Lightning / Surge Protection</x:v>
      </x:c>
      <x:c r="E59" s="54" t="str">
        <x:v>(510) 906-7062</x:v>
      </x:c>
      <x:c r="F59" s="54" t="str">
        <x:v>(510) 906-7062 (business line)</x:v>
      </x:c>
      <x:c r="G59" s="54" t="str">
        <x:v>Use official contact form</x:v>
      </x:c>
      <x:c r="H59" s="55" t="str">
        <x:v>Official: https://bayareacommercialelectrical.com/</x:v>
      </x:c>
    </x:row>
    <x:row r="60" ht="66" customHeight="1">
      <x:c r="A60" s="54" t="str">
        <x:v>Mr. Electric of San Jose</x:v>
      </x:c>
      <x:c r="B60" s="54" t="str">
        <x:v>Franchise ownership not publicly verified</x:v>
      </x:c>
      <x:c r="C60" s="54" t="str">
        <x:v>1185 Campbell Ave, San Jose, CA 95126</x:v>
      </x:c>
      <x:c r="D60" s="54" t="str">
        <x:v>Lightning / Surge Protection</x:v>
      </x:c>
      <x:c r="E60" s="54" t="str">
        <x:v>(408) 889-1933</x:v>
      </x:c>
      <x:c r="F60" s="54" t="str">
        <x:v>(408) 889-1933 (business line)</x:v>
      </x:c>
      <x:c r="G60" s="54" t="str">
        <x:v>Use official contact form</x:v>
      </x:c>
      <x:c r="H60" s="55" t="str">
        <x:v>Official: https://www.mrelectricsanjose.com/</x:v>
      </x:c>
    </x:row>
    <x:row r="61" ht="66" customHeight="1">
      <x:c r="A61" s="54" t="str">
        <x:v>Roberts Electric Co.</x:v>
      </x:c>
      <x:c r="B61" s="54" t="str">
        <x:v>Leadership not publicly verified</x:v>
      </x:c>
      <x:c r="C61" s="54" t="str">
        <x:v>Oakland / Walnut Creek, CA</x:v>
      </x:c>
      <x:c r="D61" s="54" t="str">
        <x:v>Lightning / Surge Protection</x:v>
      </x:c>
      <x:c r="E61" s="54" t="str">
        <x:v>(510) 834-6161</x:v>
      </x:c>
      <x:c r="F61" s="54" t="str">
        <x:v>(510) 834-6161 (business line)</x:v>
      </x:c>
      <x:c r="G61" s="54" t="str">
        <x:v>Use official contact form</x:v>
      </x:c>
      <x:c r="H61" s="55" t="str">
        <x:v>Official: https://robertselectric.com/</x:v>
      </x:c>
    </x:row>
    <x:row r="62" ht="66" customHeight="1">
      <x:c r="A62" s="54" t="str">
        <x:v>Emelco Electric</x:v>
      </x:c>
      <x:c r="B62" s="54" t="str">
        <x:v>Leadership not publicly verified</x:v>
      </x:c>
      <x:c r="C62" s="54" t="str">
        <x:v>San Jose / Greater Bay Area, CA</x:v>
      </x:c>
      <x:c r="D62" s="54" t="str">
        <x:v>Lightning / Surge Protection</x:v>
      </x:c>
      <x:c r="E62" s="54" t="str">
        <x:v>(510) 529-8108</x:v>
      </x:c>
      <x:c r="F62" s="54" t="str">
        <x:v>(510) 529-8108 (business line)</x:v>
      </x:c>
      <x:c r="G62" s="54" t="str">
        <x:v>Use official contact form</x:v>
      </x:c>
      <x:c r="H62" s="55" t="str">
        <x:v>Official: https://emelco-electric.com/</x:v>
      </x:c>
    </x:row>
    <x:row r="63" ht="66" customHeight="1">
      <x:c r="A63" s="54" t="str">
        <x:v>Delta Electric</x:v>
      </x:c>
      <x:c r="B63" s="54" t="str">
        <x:v>Leadership not publicly verified</x:v>
      </x:c>
      <x:c r="C63" s="54" t="str">
        <x:v>San Jose, CA</x:v>
      </x:c>
      <x:c r="D63" s="54" t="str">
        <x:v>Lightning / Surge Protection</x:v>
      </x:c>
      <x:c r="E63" s="54" t="str">
        <x:v>Not publicly verified — use website</x:v>
      </x:c>
      <x:c r="F63" s="54" t="str">
        <x:v>Business line not publicly verified</x:v>
      </x:c>
      <x:c r="G63" s="54" t="str">
        <x:v>Use official contact form</x:v>
      </x:c>
      <x:c r="H63" s="55" t="str">
        <x:v>Official: https://www.deltaelectric.net/</x:v>
      </x:c>
    </x:row>
    <x:row r="64" ht="66" customHeight="1">
      <x:c r="A64" s="54" t="str">
        <x:v>IT Construction Electrical Services</x:v>
      </x:c>
      <x:c r="B64" s="54" t="str">
        <x:v>Leadership not publicly verified</x:v>
      </x:c>
      <x:c r="C64" s="54" t="str">
        <x:v>San Jose, CA</x:v>
      </x:c>
      <x:c r="D64" s="54" t="str">
        <x:v>Lightning / Surge Protection</x:v>
      </x:c>
      <x:c r="E64" s="54" t="str">
        <x:v>(408) 225-8777</x:v>
      </x:c>
      <x:c r="F64" s="54" t="str">
        <x:v>(408) 225-8777 (business line)</x:v>
      </x:c>
      <x:c r="G64" s="54" t="str">
        <x:v>cs@itconstructionpros.com</x:v>
      </x:c>
      <x:c r="H64" s="55" t="str">
        <x:v>Official: https://itconstructionpros.com/services/electrical-services/</x:v>
      </x:c>
    </x:row>
    <x:row r="65" ht="66" customHeight="1">
      <x:c r="A65" s="54" t="str">
        <x:v>Smart Wires Electric</x:v>
      </x:c>
      <x:c r="B65" s="54" t="str">
        <x:v>Alex (public business contact; surname not displayed)</x:v>
      </x:c>
      <x:c r="C65" s="54" t="str">
        <x:v>120 Lester Ln, Los Gatos, CA 95032</x:v>
      </x:c>
      <x:c r="D65" s="54" t="str">
        <x:v>Lightning / Surge Protection</x:v>
      </x:c>
      <x:c r="E65" s="54" t="str">
        <x:v>(669) 272-0099</x:v>
      </x:c>
      <x:c r="F65" s="54" t="str">
        <x:v>(669) 272-0099 (business line)</x:v>
      </x:c>
      <x:c r="G65" s="54" t="str">
        <x:v>info@smartwireselectric.com</x:v>
      </x:c>
      <x:c r="H65" s="55" t="str">
        <x:v>Official: https://smartwireselectric.com/</x:v>
      </x:c>
    </x:row>
    <x:row r="66" ht="66" customHeight="1">
      <x:c r="A66" s="54" t="str">
        <x:v>Rortech Electric</x:v>
      </x:c>
      <x:c r="B66" s="54" t="str">
        <x:v>Leadership not publicly verified</x:v>
      </x:c>
      <x:c r="C66" s="54" t="str">
        <x:v>San Rafael, CA</x:v>
      </x:c>
      <x:c r="D66" s="54" t="str">
        <x:v>Lightning / Surge Protection</x:v>
      </x:c>
      <x:c r="E66" s="54" t="str">
        <x:v>(415) 499-7704</x:v>
      </x:c>
      <x:c r="F66" s="54" t="str">
        <x:v>(415) 499-7704 (business line)</x:v>
      </x:c>
      <x:c r="G66" s="54" t="str">
        <x:v>Use official contact form</x:v>
      </x:c>
      <x:c r="H66" s="55" t="str">
        <x:v>Official: https://www.rortech.com/</x:v>
      </x:c>
    </x:row>
    <x:row r="67" ht="66" customHeight="1">
      <x:c r="A67" s="54" t="str">
        <x:v>Dalcon Electric</x:v>
      </x:c>
      <x:c r="B67" s="54" t="str">
        <x:v>Leadership not publicly verified</x:v>
      </x:c>
      <x:c r="C67" s="54" t="str">
        <x:v>San Jose, CA</x:v>
      </x:c>
      <x:c r="D67" s="54" t="str">
        <x:v>Lightning / Surge Protection</x:v>
      </x:c>
      <x:c r="E67" s="54" t="str">
        <x:v>Not publicly verified — use website</x:v>
      </x:c>
      <x:c r="F67" s="54" t="str">
        <x:v>Business line not publicly verified</x:v>
      </x:c>
      <x:c r="G67" s="54" t="str">
        <x:v>Use official contact form</x:v>
      </x:c>
      <x:c r="H67" s="55" t="str">
        <x:v>Official: https://www.dalconelectric.com/</x:v>
      </x:c>
    </x:row>
    <x:row r="68" ht="66" customHeight="1">
      <x:c r="A68" s="54" t="str">
        <x:v>Pro Electrician Berkeley</x:v>
      </x:c>
      <x:c r="B68" s="54" t="str">
        <x:v>Leadership not publicly verified</x:v>
      </x:c>
      <x:c r="C68" s="54" t="str">
        <x:v>Berkeley / Oakland, CA</x:v>
      </x:c>
      <x:c r="D68" s="54" t="str">
        <x:v>Lightning / Surge Protection</x:v>
      </x:c>
      <x:c r="E68" s="54" t="str">
        <x:v>Not publicly verified — use website</x:v>
      </x:c>
      <x:c r="F68" s="54" t="str">
        <x:v>Business line not publicly verified</x:v>
      </x:c>
      <x:c r="G68" s="54" t="str">
        <x:v>Use official contact form</x:v>
      </x:c>
      <x:c r="H68" s="55" t="str">
        <x:v>Official: https://www.proelectricianberkeley.com/</x:v>
      </x:c>
    </x:row>
    <x:row r="69" ht="66" customHeight="1">
      <x:c r="A69" s="54" t="str">
        <x:v>Lightning Services, Inc. dba Lightning Electric</x:v>
      </x:c>
      <x:c r="B69" s="54" t="str">
        <x:v>Leadership not publicly verified</x:v>
      </x:c>
      <x:c r="C69" s="54" t="str">
        <x:v>Novato, CA 94949</x:v>
      </x:c>
      <x:c r="D69" s="54" t="str">
        <x:v>Lightning / Surge Protection</x:v>
      </x:c>
      <x:c r="E69" s="54" t="str">
        <x:v>(415) 328-1743</x:v>
      </x:c>
      <x:c r="F69" s="54" t="str">
        <x:v>(415) 328-1743 (business line)</x:v>
      </x:c>
      <x:c r="G69" s="54" t="str">
        <x:v>Use official contact form</x:v>
      </x:c>
      <x:c r="H69" s="55" t="str">
        <x:v>Official: https://www.lightningservicesinc.com/</x:v>
      </x:c>
    </x:row>
    <x:row r="70" ht="66" customHeight="1">
      <x:c r="A70" s="58" t="str">
        <x:v>Quala — Oakland Facility</x:v>
      </x:c>
      <x:c r="B70" s="58" t="str">
        <x:v>Corporate facility; local owner not applicable</x:v>
      </x:c>
      <x:c r="C70" s="58" t="str">
        <x:v>9957 Medford Ave, #11, Oakland, CA 94603</x:v>
      </x:c>
      <x:c r="D70" s="58" t="str">
        <x:v>Drum / IBC / Tank Cleaning</x:v>
      </x:c>
      <x:c r="E70" s="58" t="str">
        <x:v>(510) 568-2009</x:v>
      </x:c>
      <x:c r="F70" s="58" t="str">
        <x:v>(510) 568-2009 (facility line)</x:v>
      </x:c>
      <x:c r="G70" s="58" t="str">
        <x:v>Use corporate contact form</x:v>
      </x:c>
      <x:c r="H70" s="59" t="str">
        <x:v>Official: https://facilities.quala.us.com/quala-c48e38bbfa0b</x:v>
      </x:c>
    </x:row>
    <x:row r="71" ht="66" customHeight="1">
      <x:c r="A71" s="58" t="str">
        <x:v>Quala — Richmond Facility</x:v>
      </x:c>
      <x:c r="B71" s="58" t="str">
        <x:v>Corporate facility; local owner not applicable</x:v>
      </x:c>
      <x:c r="C71" s="58" t="str">
        <x:v>2750 Goodrick Ave, Richmond, CA 94801</x:v>
      </x:c>
      <x:c r="D71" s="58" t="str">
        <x:v>Drum / IBC / Tank Cleaning</x:v>
      </x:c>
      <x:c r="E71" s="58" t="str">
        <x:v>(510) 323-4684</x:v>
      </x:c>
      <x:c r="F71" s="58" t="str">
        <x:v>(510) 323-4684 (facility line)</x:v>
      </x:c>
      <x:c r="G71" s="58" t="str">
        <x:v>Use corporate contact form</x:v>
      </x:c>
      <x:c r="H71" s="59" t="str">
        <x:v>Official: https://facilities.quala.us.com/quala-56e07f2dcea9</x:v>
      </x:c>
    </x:row>
    <x:row r="72" ht="66" customHeight="1">
      <x:c r="A72" s="58" t="str">
        <x:v>IBC San Francisco</x:v>
      </x:c>
      <x:c r="B72" s="58" t="str">
        <x:v>Leadership not publicly verified</x:v>
      </x:c>
      <x:c r="C72" s="58" t="str">
        <x:v>157 Bluxome St, San Francisco, CA 94107</x:v>
      </x:c>
      <x:c r="D72" s="58" t="str">
        <x:v>Drum / IBC / Tank Cleaning</x:v>
      </x:c>
      <x:c r="E72" s="58" t="str">
        <x:v>Not publicly displayed — use website</x:v>
      </x:c>
      <x:c r="F72" s="58" t="str">
        <x:v>Business line not publicly displayed</x:v>
      </x:c>
      <x:c r="G72" s="58" t="str">
        <x:v>info@ibcsanfrancisco.com</x:v>
      </x:c>
      <x:c r="H72" s="59" t="str">
        <x:v>Official: https://www.ibcsanfrancisco.com/</x:v>
      </x:c>
    </x:row>
    <x:row r="73" ht="66" customHeight="1">
      <x:c r="A73" s="58" t="str">
        <x:v>Ponder Environmental Services, Inc.</x:v>
      </x:c>
      <x:c r="B73" s="58" t="str">
        <x:v>Leadership not publicly verified</x:v>
      </x:c>
      <x:c r="C73" s="58" t="str">
        <x:v>140 W Industrial Way, Benicia, CA 94510</x:v>
      </x:c>
      <x:c r="D73" s="58" t="str">
        <x:v>Drum / IBC / Tank Cleaning</x:v>
      </x:c>
      <x:c r="E73" s="58" t="str">
        <x:v>(707) 748-7775</x:v>
      </x:c>
      <x:c r="F73" s="58" t="str">
        <x:v>(877) 256-8265 (CLN TANK business line)</x:v>
      </x:c>
      <x:c r="G73" s="58" t="str">
        <x:v>Use official contact form</x:v>
      </x:c>
      <x:c r="H73" s="59" t="str">
        <x:v>Official: https://www.ponderenvironmentalservices.com/benicia/</x:v>
      </x:c>
    </x:row>
    <x:row r="74" ht="66" customHeight="1">
      <x:c r="A74" s="58" t="str">
        <x:v>Pipe &amp; Plant Solutions, Inc.</x:v>
      </x:c>
      <x:c r="B74" s="58" t="str">
        <x:v>Leadership not publicly verified</x:v>
      </x:c>
      <x:c r="C74" s="58" t="str">
        <x:v>23286 Foley St, Hayward, CA 94545</x:v>
      </x:c>
      <x:c r="D74" s="58" t="str">
        <x:v>Drum / IBC / Tank Cleaning</x:v>
      </x:c>
      <x:c r="E74" s="58" t="str">
        <x:v>(888) 978-8264</x:v>
      </x:c>
      <x:c r="F74" s="58" t="str">
        <x:v>(888) 978-8264 (business line)</x:v>
      </x:c>
      <x:c r="G74" s="58" t="str">
        <x:v>info@pipeandplant.com</x:v>
      </x:c>
      <x:c r="H74" s="59" t="str">
        <x:v>Official: https://pipeandplant.com/</x:v>
      </x:c>
    </x:row>
    <x:row r="75" ht="66" customHeight="1">
      <x:c r="A75" s="58" t="str">
        <x:v>WaterSystems Cleaning</x:v>
      </x:c>
      <x:c r="B75" s="58" t="str">
        <x:v>Leadership not publicly verified</x:v>
      </x:c>
      <x:c r="C75" s="58" t="str">
        <x:v>San Jose / SF Bay Area, CA</x:v>
      </x:c>
      <x:c r="D75" s="58" t="str">
        <x:v>Drum / IBC / Tank Cleaning</x:v>
      </x:c>
      <x:c r="E75" s="58" t="str">
        <x:v>(408) 668-0480</x:v>
      </x:c>
      <x:c r="F75" s="58" t="str">
        <x:v>(408) 668-0480 (business line)</x:v>
      </x:c>
      <x:c r="G75" s="58" t="str">
        <x:v>Use official contact form</x:v>
      </x:c>
      <x:c r="H75" s="59" t="str">
        <x:v>Official: https://wscnc.com/</x:v>
      </x:c>
    </x:row>
    <x:row r="76" ht="66" customHeight="1">
      <x:c r="A76" s="58" t="str">
        <x:v>RES Environmental Services, Inc.</x:v>
      </x:c>
      <x:c r="B76" s="58" t="str">
        <x:v>Leadership not publicly verified</x:v>
      </x:c>
      <x:c r="C76" s="58" t="str">
        <x:v>Pittsburg, CA 94565</x:v>
      </x:c>
      <x:c r="D76" s="58" t="str">
        <x:v>Drum / IBC / Tank Cleaning</x:v>
      </x:c>
      <x:c r="E76" s="58" t="str">
        <x:v>(925) 432-1755</x:v>
      </x:c>
      <x:c r="F76" s="58" t="str">
        <x:v>(925) 432-1755 (business line)</x:v>
      </x:c>
      <x:c r="G76" s="58" t="str">
        <x:v>Use official contact form</x:v>
      </x:c>
      <x:c r="H76" s="59" t="str">
        <x:v>Official: https://resenvironmentalservices.com/</x:v>
      </x:c>
    </x:row>
    <x:row r="77" ht="66" customHeight="1">
      <x:c r="A77" s="58" t="str">
        <x:v>All Clean Hazardous Waste Removal</x:v>
      </x:c>
      <x:c r="B77" s="58" t="str">
        <x:v>Leadership not publicly verified</x:v>
      </x:c>
      <x:c r="C77" s="58" t="str">
        <x:v>San Jose, CA</x:v>
      </x:c>
      <x:c r="D77" s="58" t="str">
        <x:v>Drum / IBC / Tank Cleaning</x:v>
      </x:c>
      <x:c r="E77" s="58" t="str">
        <x:v>Not publicly verified — use website</x:v>
      </x:c>
      <x:c r="F77" s="58" t="str">
        <x:v>Business line not publicly verified</x:v>
      </x:c>
      <x:c r="G77" s="58" t="str">
        <x:v>Use official contact form</x:v>
      </x:c>
      <x:c r="H77" s="59" t="str">
        <x:v>Official: https://allcleanhaz.com/</x:v>
      </x:c>
    </x:row>
    <x:row r="78" ht="66" customHeight="1">
      <x:c r="A78" s="58" t="str">
        <x:v>Always Green Always Clean</x:v>
      </x:c>
      <x:c r="B78" s="58" t="str">
        <x:v>Leadership not publicly verified</x:v>
      </x:c>
      <x:c r="C78" s="58" t="str">
        <x:v>East Bay / San Francisco Bay Area, CA</x:v>
      </x:c>
      <x:c r="D78" s="58" t="str">
        <x:v>Drum / IBC / Tank Cleaning</x:v>
      </x:c>
      <x:c r="E78" s="58" t="str">
        <x:v>Not publicly verified — use website</x:v>
      </x:c>
      <x:c r="F78" s="58" t="str">
        <x:v>Business line not publicly verified</x:v>
      </x:c>
      <x:c r="G78" s="58" t="str">
        <x:v>Use official contact form</x:v>
      </x:c>
      <x:c r="H78" s="59" t="str">
        <x:v>Official: https://www.alwaysgreenalwaysclean.com/</x:v>
      </x:c>
    </x:row>
    <x:row r="79" ht="66" customHeight="1">
      <x:c r="A79" s="60" t="str">
        <x:v>Clean Sciences, Inc.</x:v>
      </x:c>
      <x:c r="B79" s="60" t="str">
        <x:v>Leadership not publicly verified</x:v>
      </x:c>
      <x:c r="C79" s="60" t="str">
        <x:v>San Francisco Bay Area, CA</x:v>
      </x:c>
      <x:c r="D79" s="60" t="str">
        <x:v>Drum / IBC / Tank Cleaning</x:v>
      </x:c>
      <x:c r="E79" s="60" t="str">
        <x:v>Not publicly verified — use website</x:v>
      </x:c>
      <x:c r="F79" s="60" t="str">
        <x:v>Business line not publicly verified</x:v>
      </x:c>
      <x:c r="G79" s="60" t="str">
        <x:v>Use official contact form</x:v>
      </x:c>
      <x:c r="H79" s="61" t="str">
        <x:v>Official: https://cleansciences.com/</x:v>
      </x:c>
    </x:row>
  </x:sheetData>
  <x:mergeCells>
    <x:mergeCell ref="A1:H1"/>
    <x:mergeCell ref="A2:H2"/>
  </x:mergeCells>
  <x:conditionalFormatting sqref="D5:D79">
    <x:cfRule type="expression" dxfId="0" priority="1">
      <x:formula>D5="Commercial Janitorial"</x:formula>
    </x:cfRule>
    <x:cfRule type="expression" dxfId="1" priority="2">
      <x:formula>D5="Lightning / Surge Protection"</x:formula>
    </x:cfRule>
    <x:cfRule type="expression" dxfId="2" priority="3">
      <x:formula>D5="Drum / IBC / Tank Cleaning"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c14d39ba4547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0" hidden="0" customWidth="1"/>
    <x:col min="4" max="4" width="31" hidden="0" customWidth="1"/>
    <x:col min="5" max="5" width="14" hidden="0" customWidth="1"/>
    <x:col min="6" max="6" width="69" hidden="0" customWidth="1"/>
    <x:col min="7" max="7" width="72" hidden="0" customWidth="1"/>
  </x:cols>
  <x:sheetData>
    <x:row r="1">
      <x:c r="A1" s="67" t="str">
        <x:v>Revenue and Industry-Fit Screening</x:v>
      </x:c>
      <x:c r="B1" s="67"/>
      <x:c r="C1" s="67"/>
      <x:c r="D1" s="67"/>
      <x:c r="E1" s="67"/>
      <x:c r="F1" s="67"/>
      <x:c r="G1" s="67"/>
    </x:row>
    <x:row r="2">
      <x:c r="A2" s="10" t="str">
        <x:v>Revenue for private businesses is often unavailable. High confidence means the industry/location fit is strong and, where available, the public revenue estimate is in range.</x:v>
      </x:c>
      <x:c r="B2" s="10"/>
      <x:c r="C2" s="10"/>
      <x:c r="D2" s="10"/>
      <x:c r="E2" s="10"/>
      <x:c r="F2" s="10"/>
      <x:c r="G2" s="10"/>
    </x:row>
    <x:row r="4">
      <x:c r="A4" s="73" t="str">
        <x:v>Business Name</x:v>
      </x:c>
      <x:c r="B4" s="73" t="str">
        <x:v>Location</x:v>
      </x:c>
      <x:c r="C4" s="73" t="str">
        <x:v>Industry</x:v>
      </x:c>
      <x:c r="D4" s="73" t="str">
        <x:v>Revenue Screen</x:v>
      </x:c>
      <x:c r="E4" s="73" t="str">
        <x:v>Confidence</x:v>
      </x:c>
      <x:c r="F4" s="73" t="str">
        <x:v>Fit / Verification Note</x:v>
      </x:c>
      <x:c r="G4" s="73" t="str">
        <x:v>Source Links</x:v>
      </x:c>
    </x:row>
    <x:row r="5" ht="58" customHeight="1">
      <x:c r="A5" s="34" t="str">
        <x:v>Full Service Janitorial, Inc. dba Universal Janitorial</x:v>
      </x:c>
      <x:c r="B5" s="34" t="str">
        <x:v>302 Piercy Rd, San Jose, CA 95138</x:v>
      </x:c>
      <x:c r="C5" s="34" t="str">
        <x:v>Commercial Janitorial</x:v>
      </x:c>
      <x:c r="D5" s="34" t="str">
        <x:v>$2.4M third-party estimate</x:v>
      </x:c>
      <x:c r="E5" s="34" t="str">
        <x:v>High</x:v>
      </x:c>
      <x:c r="F5" s="34" t="str">
        <x:v>Direct match; Bay Area headquarters and estimated revenue inside target.</x:v>
      </x:c>
      <x:c r="G5" s="34" t="str">
        <x:v>Official: https://universaljanitorial.com/
Revenue: https://www.buzzfile.com/business/Universal-Janitorial-Maint-408-227-0600</x:v>
      </x:c>
    </x:row>
    <x:row r="6" ht="58" customHeight="1">
      <x:c r="A6" s="34" t="str">
        <x:v>Nexsentio, Inc.</x:v>
      </x:c>
      <x:c r="B6" s="34" t="str">
        <x:v>1310 Ridder Park Dr, San Jose, CA 95131</x:v>
      </x:c>
      <x:c r="C6" s="34" t="str">
        <x:v>Commercial Janitorial</x:v>
      </x:c>
      <x:c r="D6" s="34" t="str">
        <x:v>$2.7M third-party estimate</x:v>
      </x:c>
      <x:c r="E6" s="34" t="str">
        <x:v>High</x:v>
      </x:c>
      <x:c r="F6" s="34" t="str">
        <x:v>Direct janitorial-services match; estimated revenue inside target.</x:v>
      </x:c>
      <x:c r="G6" s="34" t="str">
        <x:v>Official: https://www.nexsentio.com/
Revenue: https://www.buzzfile.com/business/Nexsentio%2C-Inc.-408-392-9249</x:v>
      </x:c>
    </x:row>
    <x:row r="7" ht="58" customHeight="1">
      <x:c r="A7" s="34" t="str">
        <x:v>Platinum Facilities Services, Inc.</x:v>
      </x:c>
      <x:c r="B7" s="34" t="str">
        <x:v>1530 Oakland Rd, San Jose, CA 95112</x:v>
      </x:c>
      <x:c r="C7" s="34" t="str">
        <x:v>Commercial Janitorial</x:v>
      </x:c>
      <x:c r="D7" s="34" t="str">
        <x:v>$2.4M third-party estimate</x:v>
      </x:c>
      <x:c r="E7" s="34" t="str">
        <x:v>High</x:v>
      </x:c>
      <x:c r="F7" s="34" t="str">
        <x:v>Direct janitorial-services match; estimated revenue inside target.</x:v>
      </x:c>
      <x:c r="G7" s="34" t="str">
        <x:v>Official: https://www.buzzfile.com/business/Platinum-Facility-Services-408-998-9004</x:v>
      </x:c>
    </x:row>
    <x:row r="8" ht="58" customHeight="1">
      <x:c r="A8" s="34" t="str">
        <x:v>United Contract Services, Inc.</x:v>
      </x:c>
      <x:c r="B8" s="34" t="str">
        <x:v>1161 Ringwood Ct, San Jose, CA 95131</x:v>
      </x:c>
      <x:c r="C8" s="34" t="str">
        <x:v>Commercial Janitorial</x:v>
      </x:c>
      <x:c r="D8" s="34" t="str">
        <x:v>$1.8M estimate; slightly below target</x:v>
      </x:c>
      <x:c r="E8" s="34" t="str">
        <x:v>Medium</x:v>
      </x:c>
      <x:c r="F8" s="34" t="str">
        <x:v>Direct Bay Area janitorial provider; estimate is just below the $2M floor.</x:v>
      </x:c>
      <x:c r="G8" s="34" t="str">
        <x:v>Official: https://ucsteam.com/
Revenue: https://www.buzzfile.com/business/United-Contract-Services%2C-Inc.-408-577-0105</x:v>
      </x:c>
    </x:row>
    <x:row r="9" ht="58" customHeight="1">
      <x:c r="A9" s="34" t="str">
        <x:v>P&amp;D Ventures, Inc. dba JAN-PRO of Greater Bay Area</x:v>
      </x:c>
      <x:c r="B9" s="34" t="str">
        <x:v>3875 Hopyard Rd, Pleasanton, CA 94588</x:v>
      </x:c>
      <x:c r="C9" s="34" t="str">
        <x:v>Commercial Janitorial</x:v>
      </x:c>
      <x:c r="D9" s="34" t="str">
        <x:v>$3.0M third-party estimate</x:v>
      </x:c>
      <x:c r="E9" s="34" t="str">
        <x:v>High</x:v>
      </x:c>
      <x:c r="F9" s="34" t="str">
        <x:v>Direct commercial-janitorial match; estimate inside target.</x:v>
      </x:c>
      <x:c r="G9" s="34" t="str">
        <x:v>Official: https://jan-pro.com/san-francisco/
Revenue: https://www.buzzfile.com/business/Jan~Pro-Clg-Systems-of-Grter-B-925-474-2333</x:v>
      </x:c>
    </x:row>
    <x:row r="10" ht="58" customHeight="1">
      <x:c r="A10" s="34" t="str">
        <x:v>Trinity Building Services</x:v>
      </x:c>
      <x:c r="B10" s="34" t="str">
        <x:v>1071 Sneath Ln, San Bruno, CA 94066</x:v>
      </x:c>
      <x:c r="C10" s="34" t="str">
        <x:v>Commercial Janitorial</x:v>
      </x:c>
      <x:c r="D10" s="34" t="str">
        <x:v>$4.0M third-party estimate</x:v>
      </x:c>
      <x:c r="E10" s="34" t="str">
        <x:v>High</x:v>
      </x:c>
      <x:c r="F10" s="34" t="str">
        <x:v>Direct janitorial-services match; estimate inside target.</x:v>
      </x:c>
      <x:c r="G10" s="34" t="str">
        <x:v>Official: https://www.trinityservices.com/
Revenue: https://www.buzzfile.com/business/Trinity-Building-Services-650-873-2121</x:v>
      </x:c>
    </x:row>
    <x:row r="11" ht="58" customHeight="1">
      <x:c r="A11" s="34" t="str">
        <x:v>Universal Building Services and Supply Co. LLC</x:v>
      </x:c>
      <x:c r="B11" s="34" t="str">
        <x:v>3120 Pierce St, Richmond, CA 94804</x:v>
      </x:c>
      <x:c r="C11" s="34" t="str">
        <x:v>Commercial Janitorial</x:v>
      </x:c>
      <x:c r="D11" s="34" t="str">
        <x:v>$9.9M third-party estimate</x:v>
      </x:c>
      <x:c r="E11" s="34" t="str">
        <x:v>High</x:v>
      </x:c>
      <x:c r="F11" s="34" t="str">
        <x:v>Direct janitorial-services match; estimate at upper end of target.</x:v>
      </x:c>
      <x:c r="G11" s="34" t="str">
        <x:v>Official: https://www.ubsco.com/
Revenue: https://www.buzzfile.com/business/Universal-510-527-1078</x:v>
      </x:c>
    </x:row>
    <x:row r="12" ht="58" customHeight="1">
      <x:c r="A12" s="34" t="str">
        <x:v>American Building Service, Inc.</x:v>
      </x:c>
      <x:c r="B12" s="34" t="str">
        <x:v>4588 Crow Canyon Pl, Castro Valley, CA 94552</x:v>
      </x:c>
      <x:c r="C12" s="34" t="str">
        <x:v>Commercial Janitorial</x:v>
      </x:c>
      <x:c r="D12" s="34" t="str">
        <x:v>$1.6M estimate; below target</x:v>
      </x:c>
      <x:c r="E12" s="34" t="str">
        <x:v>Medium</x:v>
      </x:c>
      <x:c r="F12" s="34" t="str">
        <x:v>Direct Bay Area janitorial provider; estimated revenue is below the requested floor.</x:v>
      </x:c>
      <x:c r="G12" s="34" t="str">
        <x:v>Official: https://absbayarea.com/
Revenue: https://www.buzzfile.com/business/American-Building-Service%2C-Inc.-510-483-5120</x:v>
      </x:c>
    </x:row>
    <x:row r="13" ht="58" customHeight="1">
      <x:c r="A13" s="34" t="str">
        <x:v>Tetra Maintenance</x:v>
      </x:c>
      <x:c r="B13" s="34" t="str">
        <x:v>6023 College Ave, Suite 4, Oakland, CA 94618</x:v>
      </x:c>
      <x:c r="C13" s="34" t="str">
        <x:v>Commercial Janitorial</x:v>
      </x:c>
      <x:c r="D13" s="34" t="str">
        <x:v>Revenue not publicly verified</x:v>
      </x:c>
      <x:c r="E13" s="34" t="str">
        <x:v>Medium</x:v>
      </x:c>
      <x:c r="F13" s="34" t="str">
        <x:v>Direct Bay Area commercial janitorial provider; revenue requires verification.</x:v>
      </x:c>
      <x:c r="G13" s="34" t="str">
        <x:v>Official: https://www.tetramaintenance.com/</x:v>
      </x:c>
    </x:row>
    <x:row r="14" ht="58" customHeight="1">
      <x:c r="A14" s="34" t="str">
        <x:v>Tadco Service</x:v>
      </x:c>
      <x:c r="B14" s="34" t="str">
        <x:v>568 S Almaden Ave, San Jose, CA 95110</x:v>
      </x:c>
      <x:c r="C14" s="34" t="str">
        <x:v>Commercial Janitorial</x:v>
      </x:c>
      <x:c r="D14" s="34" t="str">
        <x:v>Revenue not publicly verified</x:v>
      </x:c>
      <x:c r="E14" s="34" t="str">
        <x:v>Medium</x:v>
      </x:c>
      <x:c r="F14" s="34" t="str">
        <x:v>Direct commercial-cleaning provider with a Bay Area operating address.</x:v>
      </x:c>
      <x:c r="G14" s="34" t="str">
        <x:v>Official: https://www.tadcoservice.com/</x:v>
      </x:c>
    </x:row>
    <x:row r="15" ht="58" customHeight="1">
      <x:c r="A15" s="34" t="str">
        <x:v>MCC Building Maintenance</x:v>
      </x:c>
      <x:c r="B15" s="34" t="str">
        <x:v>San Rafael, CA 94901</x:v>
      </x:c>
      <x:c r="C15" s="34" t="str">
        <x:v>Commercial Janitorial</x:v>
      </x:c>
      <x:c r="D15" s="34" t="str">
        <x:v>Revenue not publicly verified</x:v>
      </x:c>
      <x:c r="E15" s="34" t="str">
        <x:v>Medium</x:v>
      </x:c>
      <x:c r="F15" s="34" t="str">
        <x:v>Direct commercial janitorial/building-maintenance provider serving San Francisco and Marin.</x:v>
      </x:c>
      <x:c r="G15" s="34" t="str">
        <x:v>Official: https://www.mccbm.com/</x:v>
      </x:c>
    </x:row>
    <x:row r="16" ht="58" customHeight="1">
      <x:c r="A16" s="34" t="str">
        <x:v>Bay Cleaning LLC</x:v>
      </x:c>
      <x:c r="B16" s="34" t="str">
        <x:v>San Francisco, CA</x:v>
      </x:c>
      <x:c r="C16" s="34" t="str">
        <x:v>Commercial Janitorial</x:v>
      </x:c>
      <x:c r="D16" s="34" t="str">
        <x:v>Revenue not publicly verified</x:v>
      </x:c>
      <x:c r="E16" s="34" t="str">
        <x:v>Medium</x:v>
      </x:c>
      <x:c r="F16" s="34" t="str">
        <x:v>Direct commercial-cleaning match; official site identifies the owner and direct mobile.</x:v>
      </x:c>
      <x:c r="G16" s="34" t="str">
        <x:v>Official: https://www.baycleaningllc.com/</x:v>
      </x:c>
    </x:row>
    <x:row r="17" ht="58" customHeight="1">
      <x:c r="A17" s="34" t="str">
        <x:v>Bay Area Janitorial Force, Inc.</x:v>
      </x:c>
      <x:c r="B17" s="34" t="str">
        <x:v>San Francisco, CA</x:v>
      </x:c>
      <x:c r="C17" s="34" t="str">
        <x:v>Commercial Janitorial</x:v>
      </x:c>
      <x:c r="D17" s="34" t="str">
        <x:v>Revenue not publicly verified</x:v>
      </x:c>
      <x:c r="E17" s="34" t="str">
        <x:v>Medium</x:v>
      </x:c>
      <x:c r="F17" s="34" t="str">
        <x:v>Direct Bay Area commercial-janitorial provider.</x:v>
      </x:c>
      <x:c r="G17" s="34" t="str">
        <x:v>Official: https://bajfi.com/</x:v>
      </x:c>
    </x:row>
    <x:row r="18" ht="58" customHeight="1">
      <x:c r="A18" s="34" t="str">
        <x:v>Experience Janitorial Inc.</x:v>
      </x:c>
      <x:c r="B18" s="34" t="str">
        <x:v>San Francisco Bay Area, CA</x:v>
      </x:c>
      <x:c r="C18" s="34" t="str">
        <x:v>Commercial Janitorial</x:v>
      </x:c>
      <x:c r="D18" s="34" t="str">
        <x:v>Revenue not publicly verified</x:v>
      </x:c>
      <x:c r="E18" s="34" t="str">
        <x:v>Low</x:v>
      </x:c>
      <x:c r="F18" s="34" t="str">
        <x:v>Direct janitorial provider; local address and revenue require validation.</x:v>
      </x:c>
      <x:c r="G18" s="34" t="str">
        <x:v>Official: https://experiencejanitorial.com/</x:v>
      </x:c>
    </x:row>
    <x:row r="19" ht="58" customHeight="1">
      <x:c r="A19" s="34" t="str">
        <x:v>JRP Janitorial Services</x:v>
      </x:c>
      <x:c r="B19" s="34" t="str">
        <x:v>San Jose, CA</x:v>
      </x:c>
      <x:c r="C19" s="34" t="str">
        <x:v>Commercial Janitorial</x:v>
      </x:c>
      <x:c r="D19" s="34" t="str">
        <x:v>Revenue not publicly verified</x:v>
      </x:c>
      <x:c r="E19" s="34" t="str">
        <x:v>Low</x:v>
      </x:c>
      <x:c r="F19" s="34" t="str">
        <x:v>Direct commercial-cleaning provider in San Jose; revenue requires validation.</x:v>
      </x:c>
      <x:c r="G19" s="34" t="str">
        <x:v>Official: https://www.jrpjanitorialservices.com/</x:v>
      </x:c>
    </x:row>
    <x:row r="20" ht="58" customHeight="1">
      <x:c r="A20" s="34" t="str">
        <x:v>CA Janitorial Servicing Inc.</x:v>
      </x:c>
      <x:c r="B20" s="34" t="str">
        <x:v>San Jose, CA</x:v>
      </x:c>
      <x:c r="C20" s="34" t="str">
        <x:v>Commercial Janitorial</x:v>
      </x:c>
      <x:c r="D20" s="34" t="str">
        <x:v>Revenue not publicly verified</x:v>
      </x:c>
      <x:c r="E20" s="34" t="str">
        <x:v>Low</x:v>
      </x:c>
      <x:c r="F20" s="34" t="str">
        <x:v>Direct commercial-janitorial provider; revenue requires validation.</x:v>
      </x:c>
      <x:c r="G20" s="34" t="str">
        <x:v>Official: https://cajanitorialsservicing.com/</x:v>
      </x:c>
    </x:row>
    <x:row r="21" ht="58" customHeight="1">
      <x:c r="A21" s="34" t="str">
        <x:v>San Francisco Janitorial Service</x:v>
      </x:c>
      <x:c r="B21" s="34" t="str">
        <x:v>San Francisco, CA</x:v>
      </x:c>
      <x:c r="C21" s="34" t="str">
        <x:v>Commercial Janitorial</x:v>
      </x:c>
      <x:c r="D21" s="34" t="str">
        <x:v>Revenue not publicly verified</x:v>
      </x:c>
      <x:c r="E21" s="34" t="str">
        <x:v>Medium</x:v>
      </x:c>
      <x:c r="F21" s="34" t="str">
        <x:v>Direct commercial-janitorial provider with public phone and email.</x:v>
      </x:c>
      <x:c r="G21" s="34" t="str">
        <x:v>Official: https://sanfranciscojanitorialservice.com/</x:v>
      </x:c>
    </x:row>
    <x:row r="22" ht="58" customHeight="1">
      <x:c r="A22" s="34" t="str">
        <x:v>Premier Commercial Cleaning Solutions</x:v>
      </x:c>
      <x:c r="B22" s="34" t="str">
        <x:v>San Francisco Bay Area, CA</x:v>
      </x:c>
      <x:c r="C22" s="34" t="str">
        <x:v>Commercial Janitorial</x:v>
      </x:c>
      <x:c r="D22" s="34" t="str">
        <x:v>Revenue not publicly verified</x:v>
      </x:c>
      <x:c r="E22" s="34" t="str">
        <x:v>Low</x:v>
      </x:c>
      <x:c r="F22" s="34" t="str">
        <x:v>Direct Bay Area commercial-cleaning provider; headquarters and revenue require validation.</x:v>
      </x:c>
      <x:c r="G22" s="34" t="str">
        <x:v>Official: https://premierccs.com/</x:v>
      </x:c>
    </x:row>
    <x:row r="23" ht="58" customHeight="1">
      <x:c r="A23" s="34" t="str">
        <x:v>Deep Clean 365</x:v>
      </x:c>
      <x:c r="B23" s="34" t="str">
        <x:v>San Jose, CA 95119</x:v>
      </x:c>
      <x:c r="C23" s="34" t="str">
        <x:v>Commercial Janitorial</x:v>
      </x:c>
      <x:c r="D23" s="34" t="str">
        <x:v>Revenue not publicly verified</x:v>
      </x:c>
      <x:c r="E23" s="34" t="str">
        <x:v>Low</x:v>
      </x:c>
      <x:c r="F23" s="34" t="str">
        <x:v>Direct commercial/industrial-cleaning provider in San Jose.</x:v>
      </x:c>
      <x:c r="G23" s="34" t="str">
        <x:v>Official: https://www.deepclean365.com/</x:v>
      </x:c>
    </x:row>
    <x:row r="24" ht="58" customHeight="1">
      <x:c r="A24" s="34" t="str">
        <x:v>Shalom Clean Co.</x:v>
      </x:c>
      <x:c r="B24" s="34" t="str">
        <x:v>Hayward, CA</x:v>
      </x:c>
      <x:c r="C24" s="34" t="str">
        <x:v>Commercial Janitorial</x:v>
      </x:c>
      <x:c r="D24" s="34" t="str">
        <x:v>Revenue not publicly verified</x:v>
      </x:c>
      <x:c r="E24" s="34" t="str">
        <x:v>Low</x:v>
      </x:c>
      <x:c r="F24" s="34" t="str">
        <x:v>Direct commercial janitorial provider serving Hayward and the East Bay.</x:v>
      </x:c>
      <x:c r="G24" s="34" t="str">
        <x:v>Official: https://shalomcleanco.com/</x:v>
      </x:c>
    </x:row>
    <x:row r="25" ht="58" customHeight="1">
      <x:c r="A25" s="34" t="str">
        <x:v>SelectPro Janitorial</x:v>
      </x:c>
      <x:c r="B25" s="34" t="str">
        <x:v>San Francisco, CA</x:v>
      </x:c>
      <x:c r="C25" s="34" t="str">
        <x:v>Commercial Janitorial</x:v>
      </x:c>
      <x:c r="D25" s="34" t="str">
        <x:v>Revenue not publicly verified</x:v>
      </x:c>
      <x:c r="E25" s="34" t="str">
        <x:v>Low</x:v>
      </x:c>
      <x:c r="F25" s="34" t="str">
        <x:v>Direct commercial janitorial provider serving San Francisco and nearby Bay Area cities.</x:v>
      </x:c>
      <x:c r="G25" s="34" t="str">
        <x:v>Official: https://www.selectprojanitorial.com/</x:v>
      </x:c>
    </x:row>
    <x:row r="26" ht="58" customHeight="1">
      <x:c r="A26" s="34" t="str">
        <x:v>Professional Cleaning Systems</x:v>
      </x:c>
      <x:c r="B26" s="34" t="str">
        <x:v>San Jose, CA</x:v>
      </x:c>
      <x:c r="C26" s="34" t="str">
        <x:v>Commercial Janitorial</x:v>
      </x:c>
      <x:c r="D26" s="34" t="str">
        <x:v>Revenue not publicly verified</x:v>
      </x:c>
      <x:c r="E26" s="34" t="str">
        <x:v>Low</x:v>
      </x:c>
      <x:c r="F26" s="34" t="str">
        <x:v>Direct commercial-janitorial provider with long Bay Area operating history.</x:v>
      </x:c>
      <x:c r="G26" s="34" t="str">
        <x:v>Official: https://www.professionalcleaningsystems.com/</x:v>
      </x:c>
    </x:row>
    <x:row r="27" ht="58" customHeight="1">
      <x:c r="A27" s="34" t="str">
        <x:v>Aztec Janitorial</x:v>
      </x:c>
      <x:c r="B27" s="34" t="str">
        <x:v>San Francisco, CA</x:v>
      </x:c>
      <x:c r="C27" s="34" t="str">
        <x:v>Commercial Janitorial</x:v>
      </x:c>
      <x:c r="D27" s="34" t="str">
        <x:v>Revenue not publicly verified</x:v>
      </x:c>
      <x:c r="E27" s="34" t="str">
        <x:v>Low</x:v>
      </x:c>
      <x:c r="F27" s="34" t="str">
        <x:v>Direct commercial janitorial provider serving San Francisco.</x:v>
      </x:c>
      <x:c r="G27" s="34" t="str">
        <x:v>Official: https://aztecjanitorial.com/</x:v>
      </x:c>
    </x:row>
    <x:row r="28" ht="58" customHeight="1">
      <x:c r="A28" s="34" t="str">
        <x:v>SF Bay Area Janitorial Services Inc.</x:v>
      </x:c>
      <x:c r="B28" s="34" t="str">
        <x:v>San Francisco, CA</x:v>
      </x:c>
      <x:c r="C28" s="34" t="str">
        <x:v>Commercial Janitorial</x:v>
      </x:c>
      <x:c r="D28" s="34" t="str">
        <x:v>Revenue not publicly verified</x:v>
      </x:c>
      <x:c r="E28" s="34" t="str">
        <x:v>Low</x:v>
      </x:c>
      <x:c r="F28" s="34" t="str">
        <x:v>Direct local janitorial provider; revenue and leadership require validation.</x:v>
      </x:c>
      <x:c r="G28" s="34" t="str">
        <x:v>Official: https://sfbayareajanitorialca.com/</x:v>
      </x:c>
    </x:row>
    <x:row r="29" ht="58" customHeight="1">
      <x:c r="A29" s="34" t="str">
        <x:v>CMC Janitorial</x:v>
      </x:c>
      <x:c r="B29" s="34" t="str">
        <x:v>San Jose, CA</x:v>
      </x:c>
      <x:c r="C29" s="34" t="str">
        <x:v>Commercial Janitorial</x:v>
      </x:c>
      <x:c r="D29" s="34" t="str">
        <x:v>Revenue not publicly verified</x:v>
      </x:c>
      <x:c r="E29" s="34" t="str">
        <x:v>Low</x:v>
      </x:c>
      <x:c r="F29" s="34" t="str">
        <x:v>Direct commercial janitorial provider serving San Jose.</x:v>
      </x:c>
      <x:c r="G29" s="34" t="str">
        <x:v>Official: https://www.cmcjanitorialbayarea.com/</x:v>
      </x:c>
    </x:row>
    <x:row r="30" ht="58" customHeight="1">
      <x:c r="A30" s="34" t="str">
        <x:v>Bay Team Janitorial Services LLC</x:v>
      </x:c>
      <x:c r="B30" s="34" t="str">
        <x:v>Oakland, CA</x:v>
      </x:c>
      <x:c r="C30" s="34" t="str">
        <x:v>Commercial Janitorial</x:v>
      </x:c>
      <x:c r="D30" s="34" t="str">
        <x:v>Revenue not publicly verified</x:v>
      </x:c>
      <x:c r="E30" s="34" t="str">
        <x:v>Medium</x:v>
      </x:c>
      <x:c r="F30" s="34" t="str">
        <x:v>Direct Oakland commercial janitorial provider with public business line.</x:v>
      </x:c>
      <x:c r="G30" s="34" t="str">
        <x:v>Official: https://janitorialserviceoaklandca.com/</x:v>
      </x:c>
    </x:row>
    <x:row r="31" ht="58" customHeight="1">
      <x:c r="A31" s="34" t="str">
        <x:v>Pedroza's Janitorial Services</x:v>
      </x:c>
      <x:c r="B31" s="34" t="str">
        <x:v>Oakland, CA</x:v>
      </x:c>
      <x:c r="C31" s="34" t="str">
        <x:v>Commercial Janitorial</x:v>
      </x:c>
      <x:c r="D31" s="34" t="str">
        <x:v>Revenue not publicly verified</x:v>
      </x:c>
      <x:c r="E31" s="34" t="str">
        <x:v>Low</x:v>
      </x:c>
      <x:c r="F31" s="34" t="str">
        <x:v>Direct Oakland commercial-cleaning provider.</x:v>
      </x:c>
      <x:c r="G31" s="34" t="str">
        <x:v>Official: https://www.janitorialserviceoakland.com/</x:v>
      </x:c>
    </x:row>
    <x:row r="32" ht="58" customHeight="1">
      <x:c r="A32" s="34" t="str">
        <x:v>Pro Clean Janitorial Facility Services</x:v>
      </x:c>
      <x:c r="B32" s="34" t="str">
        <x:v>San Jose / East Bay, CA</x:v>
      </x:c>
      <x:c r="C32" s="34" t="str">
        <x:v>Commercial Janitorial</x:v>
      </x:c>
      <x:c r="D32" s="34" t="str">
        <x:v>Revenue not publicly verified</x:v>
      </x:c>
      <x:c r="E32" s="34" t="str">
        <x:v>Low</x:v>
      </x:c>
      <x:c r="F32" s="34" t="str">
        <x:v>Direct commercial/industrial janitorial provider with extensive Bay Area service coverage.</x:v>
      </x:c>
      <x:c r="G32" s="34" t="str">
        <x:v>Official: https://www.procleanfacilityservices.com/</x:v>
      </x:c>
    </x:row>
    <x:row r="33" ht="58" customHeight="1">
      <x:c r="A33" s="34" t="str">
        <x:v>Herces Janitorial Services</x:v>
      </x:c>
      <x:c r="B33" s="34" t="str">
        <x:v>San Jose, CA</x:v>
      </x:c>
      <x:c r="C33" s="34" t="str">
        <x:v>Commercial Janitorial</x:v>
      </x:c>
      <x:c r="D33" s="34" t="str">
        <x:v>Revenue not publicly verified</x:v>
      </x:c>
      <x:c r="E33" s="34" t="str">
        <x:v>Low</x:v>
      </x:c>
      <x:c r="F33" s="34" t="str">
        <x:v>Direct janitorial provider serving San Jose and the Bay Area.</x:v>
      </x:c>
      <x:c r="G33" s="34" t="str">
        <x:v>Official: https://hercesjanitorial.com/</x:v>
      </x:c>
    </x:row>
    <x:row r="34" ht="58" customHeight="1">
      <x:c r="A34" s="34" t="str">
        <x:v>Town &amp; Country Office Cleaning</x:v>
      </x:c>
      <x:c r="B34" s="34" t="str">
        <x:v>San Jose, CA 95119</x:v>
      </x:c>
      <x:c r="C34" s="34" t="str">
        <x:v>Commercial Janitorial</x:v>
      </x:c>
      <x:c r="D34" s="34" t="str">
        <x:v>Revenue not publicly verified</x:v>
      </x:c>
      <x:c r="E34" s="34" t="str">
        <x:v>Low</x:v>
      </x:c>
      <x:c r="F34" s="34" t="str">
        <x:v>Direct office-cleaning and janitorial provider in San Jose.</x:v>
      </x:c>
      <x:c r="G34" s="34" t="str">
        <x:v>Official: https://tcocleaning.com/</x:v>
      </x:c>
    </x:row>
    <x:row r="35" ht="58" customHeight="1">
      <x:c r="A35" s="34" t="str">
        <x:v>Brightline Janitorial</x:v>
      </x:c>
      <x:c r="B35" s="34" t="str">
        <x:v>Oakland, CA</x:v>
      </x:c>
      <x:c r="C35" s="34" t="str">
        <x:v>Commercial Janitorial</x:v>
      </x:c>
      <x:c r="D35" s="34" t="str">
        <x:v>Revenue not publicly verified</x:v>
      </x:c>
      <x:c r="E35" s="34" t="str">
        <x:v>Low</x:v>
      </x:c>
      <x:c r="F35" s="34" t="str">
        <x:v>Direct Oakland commercial janitorial provider.</x:v>
      </x:c>
      <x:c r="G35" s="34" t="str">
        <x:v>Official: https://www.oaklandjanitorial.com/</x:v>
      </x:c>
    </x:row>
    <x:row r="36" ht="58" customHeight="1">
      <x:c r="A36" s="34" t="str">
        <x:v>LFN Facility Service / CleanPro Oakland</x:v>
      </x:c>
      <x:c r="B36" s="34" t="str">
        <x:v>Oakland, CA 94612</x:v>
      </x:c>
      <x:c r="C36" s="34" t="str">
        <x:v>Commercial Janitorial</x:v>
      </x:c>
      <x:c r="D36" s="34" t="str">
        <x:v>Revenue not publicly verified</x:v>
      </x:c>
      <x:c r="E36" s="34" t="str">
        <x:v>Low</x:v>
      </x:c>
      <x:c r="F36" s="34" t="str">
        <x:v>Direct East Bay commercial-janitorial provider.</x:v>
      </x:c>
      <x:c r="G36" s="34" t="str">
        <x:v>Official: https://lfncommercialcleaning.com/</x:v>
      </x:c>
    </x:row>
    <x:row r="37" ht="58" customHeight="1">
      <x:c r="A37" s="34" t="str">
        <x:v>Centurion Janitorial Services</x:v>
      </x:c>
      <x:c r="B37" s="34" t="str">
        <x:v>San Mateo County, CA</x:v>
      </x:c>
      <x:c r="C37" s="34" t="str">
        <x:v>Commercial Janitorial</x:v>
      </x:c>
      <x:c r="D37" s="34" t="str">
        <x:v>Revenue not publicly verified</x:v>
      </x:c>
      <x:c r="E37" s="34" t="str">
        <x:v>Low</x:v>
      </x:c>
      <x:c r="F37" s="34" t="str">
        <x:v>Direct Peninsula janitorial provider; precise headquarters and revenue require validation.</x:v>
      </x:c>
      <x:c r="G37" s="34" t="str">
        <x:v>Official: https://www.centurionsvs.com/</x:v>
      </x:c>
    </x:row>
    <x:row r="38" ht="58" customHeight="1">
      <x:c r="A38" s="34" t="str">
        <x:v>Easy Life Cleaning Services</x:v>
      </x:c>
      <x:c r="B38" s="34" t="str">
        <x:v>101 Pringle Ave, Walnut Creek, CA 94596</x:v>
      </x:c>
      <x:c r="C38" s="34" t="str">
        <x:v>Commercial Janitorial</x:v>
      </x:c>
      <x:c r="D38" s="34" t="str">
        <x:v>Revenue not publicly verified</x:v>
      </x:c>
      <x:c r="E38" s="34" t="str">
        <x:v>Medium</x:v>
      </x:c>
      <x:c r="F38" s="34" t="str">
        <x:v>Direct commercial janitorial provider with public address, phone and email.</x:v>
      </x:c>
      <x:c r="G38" s="34" t="str">
        <x:v>Official: https://easylifesolution.com/commercial-cleaning/</x:v>
      </x:c>
    </x:row>
    <x:row r="39" ht="58" customHeight="1">
      <x:c r="A39" s="34" t="str">
        <x:v>All Bay Property Services</x:v>
      </x:c>
      <x:c r="B39" s="34" t="str">
        <x:v>1601 N Main St, Suite 101-232, Walnut Creek, CA 94597</x:v>
      </x:c>
      <x:c r="C39" s="34" t="str">
        <x:v>Commercial Janitorial</x:v>
      </x:c>
      <x:c r="D39" s="34" t="str">
        <x:v>Revenue not publicly verified</x:v>
      </x:c>
      <x:c r="E39" s="34" t="str">
        <x:v>Medium</x:v>
      </x:c>
      <x:c r="F39" s="34" t="str">
        <x:v>Direct commercial janitorial provider; official site identifies founder/CEO.</x:v>
      </x:c>
      <x:c r="G39" s="34" t="str">
        <x:v>Official: https://allbaypropertyservices.com/</x:v>
      </x:c>
    </x:row>
    <x:row r="40" ht="58" customHeight="1">
      <x:c r="A40" s="34" t="str">
        <x:v>Fremont Janitorial LLC</x:v>
      </x:c>
      <x:c r="B40" s="34" t="str">
        <x:v>40119 Blanchard St, Fremont, CA 94538</x:v>
      </x:c>
      <x:c r="C40" s="34" t="str">
        <x:v>Commercial Janitorial</x:v>
      </x:c>
      <x:c r="D40" s="34" t="str">
        <x:v>Revenue not publicly verified</x:v>
      </x:c>
      <x:c r="E40" s="34" t="str">
        <x:v>Medium</x:v>
      </x:c>
      <x:c r="F40" s="34" t="str">
        <x:v>Direct local janitorial provider; official site and BBB identify ownership.</x:v>
      </x:c>
      <x:c r="G40" s="34" t="str">
        <x:v>Official: https://fremontjanitorial.com/</x:v>
      </x:c>
    </x:row>
    <x:row r="41" ht="58" customHeight="1">
      <x:c r="A41" s="34" t="str">
        <x:v>QG Cleaning</x:v>
      </x:c>
      <x:c r="B41" s="34" t="str">
        <x:v>Fremont, CA</x:v>
      </x:c>
      <x:c r="C41" s="34" t="str">
        <x:v>Commercial Janitorial</x:v>
      </x:c>
      <x:c r="D41" s="34" t="str">
        <x:v>Revenue not publicly verified</x:v>
      </x:c>
      <x:c r="E41" s="34" t="str">
        <x:v>Medium</x:v>
      </x:c>
      <x:c r="F41" s="34" t="str">
        <x:v>Direct commercial janitorial provider in Fremont/East Bay.</x:v>
      </x:c>
      <x:c r="G41" s="34" t="str">
        <x:v>Official: https://www.qgcleaning.com/</x:v>
      </x:c>
    </x:row>
    <x:row r="42" ht="58" customHeight="1">
      <x:c r="A42" s="34" t="str">
        <x:v>Lenis Maintenance Services, Inc.</x:v>
      </x:c>
      <x:c r="B42" s="34" t="str">
        <x:v>San Mateo County, CA</x:v>
      </x:c>
      <x:c r="C42" s="34" t="str">
        <x:v>Commercial Janitorial</x:v>
      </x:c>
      <x:c r="D42" s="34" t="str">
        <x:v>Revenue not publicly verified</x:v>
      </x:c>
      <x:c r="E42" s="34" t="str">
        <x:v>Medium</x:v>
      </x:c>
      <x:c r="F42" s="34" t="str">
        <x:v>Direct privately owned commercial janitorial provider serving four Bay Area counties.</x:v>
      </x:c>
      <x:c r="G42" s="34" t="str">
        <x:v>Official: https://lenis-maint.com/</x:v>
      </x:c>
    </x:row>
    <x:row r="43" ht="58" customHeight="1">
      <x:c r="A43" s="34" t="str">
        <x:v>SwiftClean Company</x:v>
      </x:c>
      <x:c r="B43" s="34" t="str">
        <x:v>Redwood City, CA 94063</x:v>
      </x:c>
      <x:c r="C43" s="34" t="str">
        <x:v>Commercial Janitorial</x:v>
      </x:c>
      <x:c r="D43" s="34" t="str">
        <x:v>Revenue not publicly verified</x:v>
      </x:c>
      <x:c r="E43" s="34" t="str">
        <x:v>Medium</x:v>
      </x:c>
      <x:c r="F43" s="34" t="str">
        <x:v>Direct commercial-cleaning provider with public phone, email and Redwood City location.</x:v>
      </x:c>
      <x:c r="G43" s="34" t="str">
        <x:v>Official: https://www.swiftcleancompany.com/</x:v>
      </x:c>
    </x:row>
    <x:row r="44" ht="58" customHeight="1">
      <x:c r="A44" s="34" t="str">
        <x:v>True Wave Facility Services</x:v>
      </x:c>
      <x:c r="B44" s="34" t="str">
        <x:v>San Mateo County, CA</x:v>
      </x:c>
      <x:c r="C44" s="34" t="str">
        <x:v>Commercial Janitorial</x:v>
      </x:c>
      <x:c r="D44" s="34" t="str">
        <x:v>Revenue not publicly verified</x:v>
      </x:c>
      <x:c r="E44" s="34" t="str">
        <x:v>Low</x:v>
      </x:c>
      <x:c r="F44" s="34" t="str">
        <x:v>Direct commercial/facility-cleaning provider serving San Mateo County.</x:v>
      </x:c>
      <x:c r="G44" s="34" t="str">
        <x:v>Official: https://www.truewavefacility.com/</x:v>
      </x:c>
    </x:row>
    <x:row r="45" ht="58" customHeight="1">
      <x:c r="A45" s="34" t="str">
        <x:v>Cappstone, Inc.</x:v>
      </x:c>
      <x:c r="B45" s="34" t="str">
        <x:v>San Francisco Bay Area, CA</x:v>
      </x:c>
      <x:c r="C45" s="34" t="str">
        <x:v>Commercial Janitorial</x:v>
      </x:c>
      <x:c r="D45" s="34" t="str">
        <x:v>Revenue not publicly verified</x:v>
      </x:c>
      <x:c r="E45" s="34" t="str">
        <x:v>Low</x:v>
      </x:c>
      <x:c r="F45" s="34" t="str">
        <x:v>Managed facility-maintenance and janitorial provider; local headquarters/revenue require validation.</x:v>
      </x:c>
      <x:c r="G45" s="34" t="str">
        <x:v>Official: https://cappstone.com/</x:v>
      </x:c>
    </x:row>
    <x:row r="46" ht="58" customHeight="1">
      <x:c r="A46" s="34" t="str">
        <x:v>Tri-Valley Janitorial Services</x:v>
      </x:c>
      <x:c r="B46" s="34" t="str">
        <x:v>185 Contractors St, Box 6, Livermore, CA 94551</x:v>
      </x:c>
      <x:c r="C46" s="34" t="str">
        <x:v>Commercial Janitorial</x:v>
      </x:c>
      <x:c r="D46" s="34" t="str">
        <x:v>Revenue not publicly verified</x:v>
      </x:c>
      <x:c r="E46" s="34" t="str">
        <x:v>Medium</x:v>
      </x:c>
      <x:c r="F46" s="34" t="str">
        <x:v>Direct family- and women-owned commercial janitorial provider.</x:v>
      </x:c>
      <x:c r="G46" s="34" t="str">
        <x:v>Official: https://tvjan.com/</x:v>
      </x:c>
    </x:row>
    <x:row r="47" ht="58" customHeight="1">
      <x:c r="A47" s="34" t="str">
        <x:v>Vista Universal, Inc.</x:v>
      </x:c>
      <x:c r="B47" s="34" t="str">
        <x:v>2474 American Ave, Hayward, CA 94545</x:v>
      </x:c>
      <x:c r="C47" s="34" t="str">
        <x:v>Commercial Janitorial</x:v>
      </x:c>
      <x:c r="D47" s="34" t="str">
        <x:v>$6.1M third-party estimate</x:v>
      </x:c>
      <x:c r="E47" s="34" t="str">
        <x:v>High</x:v>
      </x:c>
      <x:c r="F47" s="34" t="str">
        <x:v>Building/lighting maintenance business with janitorial NAICS overlap; estimate inside target.</x:v>
      </x:c>
      <x:c r="G47" s="34" t="str">
        <x:v>Official: https://www.vistau.com/
Revenue: https://www.buzzfile.com/business/Vista-Universal%2C-Inc.-510-785-6166</x:v>
      </x:c>
    </x:row>
    <x:row r="48" ht="58" customHeight="1">
      <x:c r="A48" s="34" t="str">
        <x:v>California Janitorial Supply Corp.</x:v>
      </x:c>
      <x:c r="B48" s="34" t="str">
        <x:v>2040 Junction Ave, San Jose, CA 95131</x:v>
      </x:c>
      <x:c r="C48" s="34" t="str">
        <x:v>Commercial Janitorial</x:v>
      </x:c>
      <x:c r="D48" s="34" t="str">
        <x:v>$2.0M third-party estimate</x:v>
      </x:c>
      <x:c r="E48" s="34" t="str">
        <x:v>High</x:v>
      </x:c>
      <x:c r="F48" s="34" t="str">
        <x:v>Janitorial-supply business rather than a cleaning contractor; included as an adjacent acquisition/prospect target.</x:v>
      </x:c>
      <x:c r="G48" s="34" t="str">
        <x:v>Official: https://www.caljaninc.com/
Revenue: https://www.buzzfile.com/business/Chiappe-Janitorial-Supply-Co-408-286-8141</x:v>
      </x:c>
    </x:row>
    <x:row r="49" ht="58" customHeight="1">
      <x:c r="A49" s="34" t="str">
        <x:v>US Janitorial Inc.</x:v>
      </x:c>
      <x:c r="B49" s="34" t="str">
        <x:v>201 Spear St, San Francisco, CA 94105</x:v>
      </x:c>
      <x:c r="C49" s="34" t="str">
        <x:v>Commercial Janitorial</x:v>
      </x:c>
      <x:c r="D49" s="34" t="str">
        <x:v>$0.3M estimate; below target</x:v>
      </x:c>
      <x:c r="E49" s="34" t="str">
        <x:v>Low</x:v>
      </x:c>
      <x:c r="F49" s="34" t="str">
        <x:v>Direct local janitorial provider, but estimated revenue is materially below target.</x:v>
      </x:c>
      <x:c r="G49" s="34" t="str">
        <x:v>Official: https://www.usjanitorialinc.com/
Revenue: https://www.buzzfile.com/business/US-Janitorial-Inc-415-684-3300</x:v>
      </x:c>
    </x:row>
    <x:row r="50" ht="58" customHeight="1">
      <x:c r="A50" s="34" t="str">
        <x:v>Paradigm Janitorial Services LLC</x:v>
      </x:c>
      <x:c r="B50" s="34" t="str">
        <x:v>207 Peabody St, San Francisco, CA 94134</x:v>
      </x:c>
      <x:c r="C50" s="34" t="str">
        <x:v>Commercial Janitorial</x:v>
      </x:c>
      <x:c r="D50" s="34" t="str">
        <x:v>$0.4M estimate; below target</x:v>
      </x:c>
      <x:c r="E50" s="34" t="str">
        <x:v>Low</x:v>
      </x:c>
      <x:c r="F50" s="34" t="str">
        <x:v>Direct local janitorial provider; estimated revenue is below target.</x:v>
      </x:c>
      <x:c r="G50" s="34" t="str">
        <x:v>Official: https://www.paradigmjanitorial.com/
Revenue: https://www.buzzfile.com/business/Paradigm-Janitorial-Services-LLC-415-254-1651</x:v>
      </x:c>
    </x:row>
    <x:row r="51" ht="58" customHeight="1">
      <x:c r="A51" s="34" t="str">
        <x:v>Crystal Janitorial Service, Inc.</x:v>
      </x:c>
      <x:c r="B51" s="34" t="str">
        <x:v>2655 Pacer Ln, San Jose, CA 95111</x:v>
      </x:c>
      <x:c r="C51" s="34" t="str">
        <x:v>Commercial Janitorial</x:v>
      </x:c>
      <x:c r="D51" s="34" t="str">
        <x:v>$0.9M estimate; below target</x:v>
      </x:c>
      <x:c r="E51" s="34" t="str">
        <x:v>Low</x:v>
      </x:c>
      <x:c r="F51" s="34" t="str">
        <x:v>Direct local janitorial provider; estimated revenue is below target.</x:v>
      </x:c>
      <x:c r="G51" s="34" t="str">
        <x:v>Official: https://www.crystaljanitorial.com/
Revenue: https://www.buzzfile.com/business/Crystal-Janitorial-Service%2C-Inc.-650-364-1793</x:v>
      </x:c>
    </x:row>
    <x:row r="52" ht="58" customHeight="1">
      <x:c r="A52" s="34" t="str">
        <x:v>Milan Cleaning Company, LLC</x:v>
      </x:c>
      <x:c r="B52" s="34" t="str">
        <x:v>304 Fairmount Ave, Oakland, CA 94611</x:v>
      </x:c>
      <x:c r="C52" s="34" t="str">
        <x:v>Commercial Janitorial</x:v>
      </x:c>
      <x:c r="D52" s="34" t="str">
        <x:v>$1.1M estimate; below target</x:v>
      </x:c>
      <x:c r="E52" s="34" t="str">
        <x:v>Low</x:v>
      </x:c>
      <x:c r="F52" s="34" t="str">
        <x:v>Commercial exterior-cleaning business; estimated revenue below target.</x:v>
      </x:c>
      <x:c r="G52" s="34" t="str">
        <x:v>Official: https://www.buzzfile.com/business/Milan-Cleaning-Company%2C-LLC-510-759-6310</x:v>
      </x:c>
    </x:row>
    <x:row r="53" ht="58" customHeight="1">
      <x:c r="A53" s="34" t="str">
        <x:v>B &amp; G Janitorial Services</x:v>
      </x:c>
      <x:c r="B53" s="34" t="str">
        <x:v>498 25th St, Oakland, CA 94612</x:v>
      </x:c>
      <x:c r="C53" s="34" t="str">
        <x:v>Commercial Janitorial</x:v>
      </x:c>
      <x:c r="D53" s="34" t="str">
        <x:v>$0.3M estimate; below target</x:v>
      </x:c>
      <x:c r="E53" s="34" t="str">
        <x:v>Low</x:v>
      </x:c>
      <x:c r="F53" s="34" t="str">
        <x:v>Direct local janitorial provider; estimated revenue is below target.</x:v>
      </x:c>
      <x:c r="G53" s="34" t="str">
        <x:v>Official: https://www.buzzfile.com/business/B.And.G-Janitorial-Services-510-517-2497</x:v>
      </x:c>
    </x:row>
    <x:row r="54" ht="58" customHeight="1">
      <x:c r="A54" s="34" t="str">
        <x:v>Master Clean 4U</x:v>
      </x:c>
      <x:c r="B54" s="34" t="str">
        <x:v>647 Tully Rd, Suite 3, San Jose, CA 95111</x:v>
      </x:c>
      <x:c r="C54" s="34" t="str">
        <x:v>Commercial Janitorial</x:v>
      </x:c>
      <x:c r="D54" s="34" t="str">
        <x:v>Revenue not publicly verified</x:v>
      </x:c>
      <x:c r="E54" s="34" t="str">
        <x:v>Low</x:v>
      </x:c>
      <x:c r="F54" s="34" t="str">
        <x:v>Direct commercial/industrial-cleaning provider in San Jose.</x:v>
      </x:c>
      <x:c r="G54" s="34" t="str">
        <x:v>Official: https://masterclean4u.com/</x:v>
      </x:c>
    </x:row>
    <x:row r="55" ht="58" customHeight="1">
      <x:c r="A55" s="34" t="str">
        <x:v>Jackson Electric</x:v>
      </x:c>
      <x:c r="B55" s="34" t="str">
        <x:v>San Jose, CA</x:v>
      </x:c>
      <x:c r="C55" s="34" t="str">
        <x:v>Lightning / Surge Protection</x:v>
      </x:c>
      <x:c r="D55" s="34" t="str">
        <x:v>Revenue not publicly verified</x:v>
      </x:c>
      <x:c r="E55" s="34" t="str">
        <x:v>Medium</x:v>
      </x:c>
      <x:c r="F55" s="34" t="str">
        <x:v>Bay Area electrical contractor explicitly offering whole-house surge protection.</x:v>
      </x:c>
      <x:c r="G55" s="34" t="str">
        <x:v>Official: https://jacksonelectric.com/</x:v>
      </x:c>
    </x:row>
    <x:row r="56" ht="58" customHeight="1">
      <x:c r="A56" s="34" t="str">
        <x:v>Wooding Electric</x:v>
      </x:c>
      <x:c r="B56" s="34" t="str">
        <x:v>3390 De La Cruz Blvd, Santa Clara, CA 95054</x:v>
      </x:c>
      <x:c r="C56" s="34" t="str">
        <x:v>Lightning / Surge Protection</x:v>
      </x:c>
      <x:c r="D56" s="34" t="str">
        <x:v>Revenue not publicly verified</x:v>
      </x:c>
      <x:c r="E56" s="34" t="str">
        <x:v>Medium</x:v>
      </x:c>
      <x:c r="F56" s="34" t="str">
        <x:v>Commercial electrical contractor explicitly listing surge protection.</x:v>
      </x:c>
      <x:c r="G56" s="34" t="str">
        <x:v>Official: https://www.woodingelectric.com/</x:v>
      </x:c>
    </x:row>
    <x:row r="57" ht="58" customHeight="1">
      <x:c r="A57" s="34" t="str">
        <x:v>CA Electrical Group 24/7</x:v>
      </x:c>
      <x:c r="B57" s="34" t="str">
        <x:v>780 Montague Expy, Suite 203, San Jose, CA 95131</x:v>
      </x:c>
      <x:c r="C57" s="34" t="str">
        <x:v>Lightning / Surge Protection</x:v>
      </x:c>
      <x:c r="D57" s="34" t="str">
        <x:v>Revenue not publicly verified</x:v>
      </x:c>
      <x:c r="E57" s="34" t="str">
        <x:v>Low</x:v>
      </x:c>
      <x:c r="F57" s="34" t="str">
        <x:v>Bay Area electrical contractor advertising full-home surge-protector installation.</x:v>
      </x:c>
      <x:c r="G57" s="34" t="str">
        <x:v>Official: https://caelectricalgroup.com/</x:v>
      </x:c>
    </x:row>
    <x:row r="58" ht="58" customHeight="1">
      <x:c r="A58" s="34" t="str">
        <x:v>Safety First Electric</x:v>
      </x:c>
      <x:c r="B58" s="34" t="str">
        <x:v>San Jose, CA</x:v>
      </x:c>
      <x:c r="C58" s="34" t="str">
        <x:v>Lightning / Surge Protection</x:v>
      </x:c>
      <x:c r="D58" s="34" t="str">
        <x:v>Revenue not publicly verified</x:v>
      </x:c>
      <x:c r="E58" s="34" t="str">
        <x:v>Low</x:v>
      </x:c>
      <x:c r="F58" s="34" t="str">
        <x:v>Local electrical contractor explicitly offering whole-home surge protection.</x:v>
      </x:c>
      <x:c r="G58" s="34" t="str">
        <x:v>Official: https://www.mysafetyfirstelectric.com/</x:v>
      </x:c>
    </x:row>
    <x:row r="59" ht="58" customHeight="1">
      <x:c r="A59" s="34" t="str">
        <x:v>O.T. Electric</x:v>
      </x:c>
      <x:c r="B59" s="34" t="str">
        <x:v>Oakland, CA</x:v>
      </x:c>
      <x:c r="C59" s="34" t="str">
        <x:v>Lightning / Surge Protection</x:v>
      </x:c>
      <x:c r="D59" s="34" t="str">
        <x:v>Revenue not publicly verified</x:v>
      </x:c>
      <x:c r="E59" s="34" t="str">
        <x:v>Medium</x:v>
      </x:c>
      <x:c r="F59" s="34" t="str">
        <x:v>Bay Area electrical contractor offering whole-house surge protectors.</x:v>
      </x:c>
      <x:c r="G59" s="34" t="str">
        <x:v>Official: https://bayareacommercialelectrical.com/</x:v>
      </x:c>
    </x:row>
    <x:row r="60" ht="58" customHeight="1">
      <x:c r="A60" s="34" t="str">
        <x:v>Mr. Electric of San Jose</x:v>
      </x:c>
      <x:c r="B60" s="34" t="str">
        <x:v>1185 Campbell Ave, San Jose, CA 95126</x:v>
      </x:c>
      <x:c r="C60" s="34" t="str">
        <x:v>Lightning / Surge Protection</x:v>
      </x:c>
      <x:c r="D60" s="34" t="str">
        <x:v>Revenue not publicly verified</x:v>
      </x:c>
      <x:c r="E60" s="34" t="str">
        <x:v>Low</x:v>
      </x:c>
      <x:c r="F60" s="34" t="str">
        <x:v>Local electrical franchise explicitly offering surge-protection installation.</x:v>
      </x:c>
      <x:c r="G60" s="34" t="str">
        <x:v>Official: https://www.mrelectricsanjose.com/</x:v>
      </x:c>
    </x:row>
    <x:row r="61" ht="58" customHeight="1">
      <x:c r="A61" s="34" t="str">
        <x:v>Roberts Electric Co.</x:v>
      </x:c>
      <x:c r="B61" s="34" t="str">
        <x:v>Oakland / Walnut Creek, CA</x:v>
      </x:c>
      <x:c r="C61" s="34" t="str">
        <x:v>Lightning / Surge Protection</x:v>
      </x:c>
      <x:c r="D61" s="34" t="str">
        <x:v>Revenue not publicly verified</x:v>
      </x:c>
      <x:c r="E61" s="34" t="str">
        <x:v>Medium</x:v>
      </x:c>
      <x:c r="F61" s="34" t="str">
        <x:v>Long-established commercial electrical contractor listing isolated-ground surge protection.</x:v>
      </x:c>
      <x:c r="G61" s="34" t="str">
        <x:v>Official: https://robertselectric.com/</x:v>
      </x:c>
    </x:row>
    <x:row r="62" ht="58" customHeight="1">
      <x:c r="A62" s="34" t="str">
        <x:v>Emelco Electric</x:v>
      </x:c>
      <x:c r="B62" s="34" t="str">
        <x:v>San Jose / Greater Bay Area, CA</x:v>
      </x:c>
      <x:c r="C62" s="34" t="str">
        <x:v>Lightning / Surge Protection</x:v>
      </x:c>
      <x:c r="D62" s="34" t="str">
        <x:v>Revenue not publicly verified</x:v>
      </x:c>
      <x:c r="E62" s="34" t="str">
        <x:v>Low</x:v>
      </x:c>
      <x:c r="F62" s="34" t="str">
        <x:v>Electrical contractor explicitly offering surge-arrester installation.</x:v>
      </x:c>
      <x:c r="G62" s="34" t="str">
        <x:v>Official: https://emelco-electric.com/</x:v>
      </x:c>
    </x:row>
    <x:row r="63" ht="58" customHeight="1">
      <x:c r="A63" s="34" t="str">
        <x:v>Delta Electric</x:v>
      </x:c>
      <x:c r="B63" s="34" t="str">
        <x:v>San Jose, CA</x:v>
      </x:c>
      <x:c r="C63" s="34" t="str">
        <x:v>Lightning / Surge Protection</x:v>
      </x:c>
      <x:c r="D63" s="34" t="str">
        <x:v>Revenue not publicly verified</x:v>
      </x:c>
      <x:c r="E63" s="34" t="str">
        <x:v>Low</x:v>
      </x:c>
      <x:c r="F63" s="34" t="str">
        <x:v>South Bay electrical contractor explicitly offering whole-house surge protection.</x:v>
      </x:c>
      <x:c r="G63" s="34" t="str">
        <x:v>Official: https://www.deltaelectric.net/</x:v>
      </x:c>
    </x:row>
    <x:row r="64" ht="58" customHeight="1">
      <x:c r="A64" s="34" t="str">
        <x:v>IT Construction Electrical Services</x:v>
      </x:c>
      <x:c r="B64" s="34" t="str">
        <x:v>San Jose, CA</x:v>
      </x:c>
      <x:c r="C64" s="34" t="str">
        <x:v>Lightning / Surge Protection</x:v>
      </x:c>
      <x:c r="D64" s="34" t="str">
        <x:v>Revenue not publicly verified</x:v>
      </x:c>
      <x:c r="E64" s="34" t="str">
        <x:v>Medium</x:v>
      </x:c>
      <x:c r="F64" s="34" t="str">
        <x:v>Licensed Bay Area C-10 contractor listing whole-house surge-protector installation.</x:v>
      </x:c>
      <x:c r="G64" s="34" t="str">
        <x:v>Official: https://itconstructionpros.com/services/electrical-services/</x:v>
      </x:c>
    </x:row>
    <x:row r="65" ht="58" customHeight="1">
      <x:c r="A65" s="34" t="str">
        <x:v>Smart Wires Electric</x:v>
      </x:c>
      <x:c r="B65" s="34" t="str">
        <x:v>120 Lester Ln, Los Gatos, CA 95032</x:v>
      </x:c>
      <x:c r="C65" s="34" t="str">
        <x:v>Lightning / Surge Protection</x:v>
      </x:c>
      <x:c r="D65" s="34" t="str">
        <x:v>Revenue not publicly verified</x:v>
      </x:c>
      <x:c r="E65" s="34" t="str">
        <x:v>Medium</x:v>
      </x:c>
      <x:c r="F65" s="34" t="str">
        <x:v>Local contractor explicitly offering electrical safety and surge protection.</x:v>
      </x:c>
      <x:c r="G65" s="34" t="str">
        <x:v>Official: https://smartwireselectric.com/</x:v>
      </x:c>
    </x:row>
    <x:row r="66" ht="58" customHeight="1">
      <x:c r="A66" s="34" t="str">
        <x:v>Rortech Electric</x:v>
      </x:c>
      <x:c r="B66" s="34" t="str">
        <x:v>San Rafael, CA</x:v>
      </x:c>
      <x:c r="C66" s="34" t="str">
        <x:v>Lightning / Surge Protection</x:v>
      </x:c>
      <x:c r="D66" s="34" t="str">
        <x:v>Revenue not publicly verified</x:v>
      </x:c>
      <x:c r="E66" s="34" t="str">
        <x:v>Medium</x:v>
      </x:c>
      <x:c r="F66" s="34" t="str">
        <x:v>Marin-based electrical contractor explicitly offering grounding and whole-house surge protection.</x:v>
      </x:c>
      <x:c r="G66" s="34" t="str">
        <x:v>Official: https://www.rortech.com/</x:v>
      </x:c>
    </x:row>
    <x:row r="67" ht="58" customHeight="1">
      <x:c r="A67" s="34" t="str">
        <x:v>Dalcon Electric</x:v>
      </x:c>
      <x:c r="B67" s="34" t="str">
        <x:v>San Jose, CA</x:v>
      </x:c>
      <x:c r="C67" s="34" t="str">
        <x:v>Lightning / Surge Protection</x:v>
      </x:c>
      <x:c r="D67" s="34" t="str">
        <x:v>Revenue not publicly verified</x:v>
      </x:c>
      <x:c r="E67" s="34" t="str">
        <x:v>Low</x:v>
      </x:c>
      <x:c r="F67" s="34" t="str">
        <x:v>Local electrical contractor explicitly offering power-surge protection.</x:v>
      </x:c>
      <x:c r="G67" s="34" t="str">
        <x:v>Official: https://www.dalconelectric.com/</x:v>
      </x:c>
    </x:row>
    <x:row r="68" ht="58" customHeight="1">
      <x:c r="A68" s="34" t="str">
        <x:v>Pro Electrician Berkeley</x:v>
      </x:c>
      <x:c r="B68" s="34" t="str">
        <x:v>Berkeley / Oakland, CA</x:v>
      </x:c>
      <x:c r="C68" s="34" t="str">
        <x:v>Lightning / Surge Protection</x:v>
      </x:c>
      <x:c r="D68" s="34" t="str">
        <x:v>Revenue not publicly verified</x:v>
      </x:c>
      <x:c r="E68" s="34" t="str">
        <x:v>Low</x:v>
      </x:c>
      <x:c r="F68" s="34" t="str">
        <x:v>East Bay electrician explicitly offering whole-house surge protection.</x:v>
      </x:c>
      <x:c r="G68" s="34" t="str">
        <x:v>Official: https://www.proelectricianberkeley.com/</x:v>
      </x:c>
    </x:row>
    <x:row r="69" ht="58" customHeight="1">
      <x:c r="A69" s="34" t="str">
        <x:v>Lightning Services, Inc. dba Lightning Electric</x:v>
      </x:c>
      <x:c r="B69" s="34" t="str">
        <x:v>Novato, CA 94949</x:v>
      </x:c>
      <x:c r="C69" s="34" t="str">
        <x:v>Lightning / Surge Protection</x:v>
      </x:c>
      <x:c r="D69" s="34" t="str">
        <x:v>Revenue not publicly verified</x:v>
      </x:c>
      <x:c r="E69" s="34" t="str">
        <x:v>Low</x:v>
      </x:c>
      <x:c r="F69" s="34" t="str">
        <x:v>Bay Area electrical contractor; company name is Lightning Electric, but pure lightning-rod specialization was not verified.</x:v>
      </x:c>
      <x:c r="G69" s="34" t="str">
        <x:v>Official: https://www.lightningservicesinc.com/</x:v>
      </x:c>
    </x:row>
    <x:row r="70" ht="58" customHeight="1">
      <x:c r="A70" s="34" t="str">
        <x:v>Quala — Oakland Facility</x:v>
      </x:c>
      <x:c r="B70" s="34" t="str">
        <x:v>9957 Medford Ave, #11, Oakland, CA 94603</x:v>
      </x:c>
      <x:c r="C70" s="34" t="str">
        <x:v>Drum / IBC / Tank Cleaning</x:v>
      </x:c>
      <x:c r="D70" s="34" t="str">
        <x:v>Local-facility revenue not publicly verified</x:v>
      </x:c>
      <x:c r="E70" s="34" t="str">
        <x:v>High</x:v>
      </x:c>
      <x:c r="F70" s="34" t="str">
        <x:v>Direct IBC/tote, tank-trailer and hazardous/non-hazardous product cleaning facility.</x:v>
      </x:c>
      <x:c r="G70" s="34" t="str">
        <x:v>Official: https://facilities.quala.us.com/quala-c48e38bbfa0b</x:v>
      </x:c>
    </x:row>
    <x:row r="71" ht="58" customHeight="1">
      <x:c r="A71" s="34" t="str">
        <x:v>Quala — Richmond Facility</x:v>
      </x:c>
      <x:c r="B71" s="34" t="str">
        <x:v>2750 Goodrick Ave, Richmond, CA 94801</x:v>
      </x:c>
      <x:c r="C71" s="34" t="str">
        <x:v>Drum / IBC / Tank Cleaning</x:v>
      </x:c>
      <x:c r="D71" s="34" t="str">
        <x:v>Local-facility revenue not publicly verified</x:v>
      </x:c>
      <x:c r="E71" s="34" t="str">
        <x:v>High</x:v>
      </x:c>
      <x:c r="F71" s="34" t="str">
        <x:v>Direct IBC/tote, tank-trailer and industrial-product cleaning facility.</x:v>
      </x:c>
      <x:c r="G71" s="34" t="str">
        <x:v>Official: https://facilities.quala.us.com/quala-56e07f2dcea9</x:v>
      </x:c>
    </x:row>
    <x:row r="72" ht="58" customHeight="1">
      <x:c r="A72" s="34" t="str">
        <x:v>IBC San Francisco</x:v>
      </x:c>
      <x:c r="B72" s="34" t="str">
        <x:v>157 Bluxome St, San Francisco, CA 94107</x:v>
      </x:c>
      <x:c r="C72" s="34" t="str">
        <x:v>Drum / IBC / Tank Cleaning</x:v>
      </x:c>
      <x:c r="D72" s="34" t="str">
        <x:v>Revenue not publicly verified</x:v>
      </x:c>
      <x:c r="E72" s="34" t="str">
        <x:v>High</x:v>
      </x:c>
      <x:c r="F72" s="34" t="str">
        <x:v>Direct IBC cleaning, reconditioning, recycling and transport provider.</x:v>
      </x:c>
      <x:c r="G72" s="34" t="str">
        <x:v>Official: https://www.ibcsanfrancisco.com/</x:v>
      </x:c>
    </x:row>
    <x:row r="73" ht="58" customHeight="1">
      <x:c r="A73" s="34" t="str">
        <x:v>Ponder Environmental Services, Inc.</x:v>
      </x:c>
      <x:c r="B73" s="34" t="str">
        <x:v>140 W Industrial Way, Benicia, CA 94510</x:v>
      </x:c>
      <x:c r="C73" s="34" t="str">
        <x:v>Drum / IBC / Tank Cleaning</x:v>
      </x:c>
      <x:c r="D73" s="34" t="str">
        <x:v>Revenue not publicly verified</x:v>
      </x:c>
      <x:c r="E73" s="34" t="str">
        <x:v>High</x:v>
      </x:c>
      <x:c r="F73" s="34" t="str">
        <x:v>Direct storage-tank cleaning, vacuum-truck and hazardous-waste services.</x:v>
      </x:c>
      <x:c r="G73" s="34" t="str">
        <x:v>Official: https://www.ponderenvironmentalservices.com/benicia/</x:v>
      </x:c>
    </x:row>
    <x:row r="74" ht="58" customHeight="1">
      <x:c r="A74" s="34" t="str">
        <x:v>Pipe &amp; Plant Solutions, Inc.</x:v>
      </x:c>
      <x:c r="B74" s="34" t="str">
        <x:v>23286 Foley St, Hayward, CA 94545</x:v>
      </x:c>
      <x:c r="C74" s="34" t="str">
        <x:v>Drum / IBC / Tank Cleaning</x:v>
      </x:c>
      <x:c r="D74" s="34" t="str">
        <x:v>Revenue not publicly verified</x:v>
      </x:c>
      <x:c r="E74" s="34" t="str">
        <x:v>Medium</x:v>
      </x:c>
      <x:c r="F74" s="34" t="str">
        <x:v>Industrial infrastructure and digester-tank cleaning; adjacent to drum/container cleaning.</x:v>
      </x:c>
      <x:c r="G74" s="34" t="str">
        <x:v>Official: https://pipeandplant.com/</x:v>
      </x:c>
    </x:row>
    <x:row r="75" ht="58" customHeight="1">
      <x:c r="A75" s="34" t="str">
        <x:v>WaterSystems Cleaning</x:v>
      </x:c>
      <x:c r="B75" s="34" t="str">
        <x:v>San Jose / SF Bay Area, CA</x:v>
      </x:c>
      <x:c r="C75" s="34" t="str">
        <x:v>Drum / IBC / Tank Cleaning</x:v>
      </x:c>
      <x:c r="D75" s="34" t="str">
        <x:v>Revenue not publicly verified</x:v>
      </x:c>
      <x:c r="E75" s="34" t="str">
        <x:v>Medium</x:v>
      </x:c>
      <x:c r="F75" s="34" t="str">
        <x:v>Industrial cooling-tower and fume-scrubber cleaning; adjacent industrial-vessel cleaning.</x:v>
      </x:c>
      <x:c r="G75" s="34" t="str">
        <x:v>Official: https://wscnc.com/</x:v>
      </x:c>
    </x:row>
    <x:row r="76" ht="58" customHeight="1">
      <x:c r="A76" s="34" t="str">
        <x:v>RES Environmental Services, Inc.</x:v>
      </x:c>
      <x:c r="B76" s="34" t="str">
        <x:v>Pittsburg, CA 94565</x:v>
      </x:c>
      <x:c r="C76" s="34" t="str">
        <x:v>Drum / IBC / Tank Cleaning</x:v>
      </x:c>
      <x:c r="D76" s="34" t="str">
        <x:v>Revenue not publicly verified</x:v>
      </x:c>
      <x:c r="E76" s="34" t="str">
        <x:v>High</x:v>
      </x:c>
      <x:c r="F76" s="34" t="str">
        <x:v>Industrial tank cleaning, sludge removal and vacuum-truck services.</x:v>
      </x:c>
      <x:c r="G76" s="34" t="str">
        <x:v>Official: https://resenvironmentalservices.com/</x:v>
      </x:c>
    </x:row>
    <x:row r="77" ht="58" customHeight="1">
      <x:c r="A77" s="34" t="str">
        <x:v>All Clean Hazardous Waste Removal</x:v>
      </x:c>
      <x:c r="B77" s="34" t="str">
        <x:v>San Jose, CA</x:v>
      </x:c>
      <x:c r="C77" s="34" t="str">
        <x:v>Drum / IBC / Tank Cleaning</x:v>
      </x:c>
      <x:c r="D77" s="34" t="str">
        <x:v>Revenue not publicly verified</x:v>
      </x:c>
      <x:c r="E77" s="34" t="str">
        <x:v>Medium</x:v>
      </x:c>
      <x:c r="F77" s="34" t="str">
        <x:v>Tank cleaning, hazardous-waste removal and industrial-cleaning provider.</x:v>
      </x:c>
      <x:c r="G77" s="34" t="str">
        <x:v>Official: https://allcleanhaz.com/</x:v>
      </x:c>
    </x:row>
    <x:row r="78" ht="58" customHeight="1">
      <x:c r="A78" s="34" t="str">
        <x:v>Always Green Always Clean</x:v>
      </x:c>
      <x:c r="B78" s="34" t="str">
        <x:v>East Bay / San Francisco Bay Area, CA</x:v>
      </x:c>
      <x:c r="C78" s="34" t="str">
        <x:v>Drum / IBC / Tank Cleaning</x:v>
      </x:c>
      <x:c r="D78" s="34" t="str">
        <x:v>Revenue not publicly verified</x:v>
      </x:c>
      <x:c r="E78" s="34" t="str">
        <x:v>Low</x:v>
      </x:c>
      <x:c r="F78" s="34" t="str">
        <x:v>Commercial garbage-container cleaning rather than industrial drum reconditioning; included as an adjacent container-cleaning target.</x:v>
      </x:c>
      <x:c r="G78" s="34" t="str">
        <x:v>Official: https://www.alwaysgreenalwaysclean.com/</x:v>
      </x:c>
    </x:row>
    <x:row r="79" ht="58" customHeight="1">
      <x:c r="A79" s="36" t="str">
        <x:v>Clean Sciences, Inc.</x:v>
      </x:c>
      <x:c r="B79" s="36" t="str">
        <x:v>San Francisco Bay Area, CA</x:v>
      </x:c>
      <x:c r="C79" s="36" t="str">
        <x:v>Drum / IBC / Tank Cleaning</x:v>
      </x:c>
      <x:c r="D79" s="36" t="str">
        <x:v>Revenue not publicly verified</x:v>
      </x:c>
      <x:c r="E79" s="36" t="str">
        <x:v>Low</x:v>
      </x:c>
      <x:c r="F79" s="36" t="str">
        <x:v>Precision and chemical cleaning/refurbishment business; adjacent to industrial container and component cleaning.</x:v>
      </x:c>
      <x:c r="G79" s="36" t="str">
        <x:v>Official: https://cleansciences.com/</x:v>
      </x:c>
    </x:row>
  </x:sheetData>
  <x:mergeCells>
    <x:mergeCell ref="A1:G1"/>
    <x:mergeCell ref="A2:G2"/>
  </x:mergeCells>
  <x:conditionalFormatting sqref="E5:E79">
    <x:cfRule type="expression" dxfId="3" priority="1">
      <x:formula>E5="High"</x:formula>
    </x:cfRule>
    <x:cfRule type="expression" dxfId="4" priority="2">
      <x:formula>E5="Medium"</x:formula>
    </x:cfRule>
    <x:cfRule type="expression" dxfId="5" priority="3">
      <x:formula>E5="Low"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611e10a8b646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4" t="str">
        <x:v>Scope, Counts and Limitations</x:v>
      </x:c>
      <x:c r="B1" s="4"/>
      <x:c r="C1" s="4"/>
      <x:c r="D1" s="4"/>
      <x:c r="E1" s="4"/>
      <x:c r="F1" s="4"/>
    </x:row>
    <x:row r="3">
      <x:c r="A3" s="78" t="str">
        <x:v>Metric</x:v>
      </x:c>
      <x:c r="B3" s="78" t="str">
        <x:v>Value</x:v>
      </x:c>
    </x:row>
    <x:row r="4">
      <x:c r="A4" s="81" t="str">
        <x:v>Total prospects</x:v>
      </x:c>
      <x:c r="B4" s="90" t="n">
        <x:f>COUNTA(Prospects!A5:A79)</x:f>
        <x:v>75</x:v>
      </x:c>
    </x:row>
    <x:row r="5">
      <x:c r="A5" s="81" t="str">
        <x:v>Commercial Janitorial</x:v>
      </x:c>
      <x:c r="B5" s="90" t="n">
        <x:f>COUNTIF(Prospects!D5:D79,"Commercial Janitorial")</x:f>
        <x:v>50</x:v>
      </x:c>
    </x:row>
    <x:row r="6">
      <x:c r="A6" s="81" t="str">
        <x:v>Lightning / Surge Protection</x:v>
      </x:c>
      <x:c r="B6" s="90" t="n">
        <x:f>COUNTIF(Prospects!D5:D79,"Lightning / Surge Protection")</x:f>
        <x:v>15</x:v>
      </x:c>
    </x:row>
    <x:row r="7">
      <x:c r="A7" s="82" t="str">
        <x:v>Drum / IBC / Tank Cleaning</x:v>
      </x:c>
      <x:c r="B7" s="91" t="n">
        <x:f>COUNTIF(Prospects!D5:D79,"Drum / IBC / Tank Cleaning")</x:f>
        <x:v>10</x:v>
      </x:c>
    </x:row>
    <x:row r="10">
      <x:c r="A10" s="70" t="str">
        <x:v>Methodology and Non-Negotiable Caveats</x:v>
      </x:c>
      <x:c r="B10" s="70"/>
      <x:c r="C10" s="70"/>
      <x:c r="D10" s="70"/>
      <x:c r="E10" s="70"/>
      <x:c r="F10" s="70"/>
    </x:row>
    <x:row r="11" ht="56" customHeight="1">
      <x:c r="A11" s="100" t="str">
        <x:v>Geography</x:v>
      </x:c>
      <x:c r="B11" s="106" t="str">
        <x:v>All rows are located in, headquartered in, or have a clearly identified operating location in the nine-county San Francisco Bay Area. Rows with only a broad Bay Area location are explicitly labeled.</x:v>
      </x:c>
    </x:row>
    <x:row r="12" ht="56" customHeight="1">
      <x:c r="A12" s="100" t="str">
        <x:v>Industry distribution</x:v>
      </x:c>
      <x:c r="B12" s="106" t="str">
        <x:v>The list is not forced to 25 per category. The Bay Area does not contain enough credible pure-play lightning-protection and drum-reconditioning firms to produce 25 of each without padding the list with irrelevant or fabricated businesses.</x:v>
      </x:c>
    </x:row>
    <x:row r="13" ht="56" customHeight="1">
      <x:c r="A13" s="100" t="str">
        <x:v>Lightning category</x:v>
      </x:c>
      <x:c r="B13" s="106" t="str">
        <x:v>Because pure lightning-rod installers are scarce locally, this category includes Bay Area electrical contractors that explicitly offer surge protection, grounding, surge arresters, or related electrical-protection services.</x:v>
      </x:c>
    </x:row>
    <x:row r="14" ht="56" customHeight="1">
      <x:c r="A14" s="100" t="str">
        <x:v>Drum category</x:v>
      </x:c>
      <x:c r="B14" s="106" t="str">
        <x:v>This category includes direct IBC/tote cleaning facilities, industrial tank cleaners, and adjacent industrial container-cleaning providers. The exact fit is stated in the screening notes.</x:v>
      </x:c>
    </x:row>
    <x:row r="15" ht="56" customHeight="1">
      <x:c r="A15" s="100" t="str">
        <x:v>Revenue</x:v>
      </x:c>
      <x:c r="B15" s="106" t="str">
        <x:v>Only public third-party estimates were used. No revenue figure was invented. Many private companies have no public revenue data; those rows are marked unverified rather than falsely presented as $2M–$10M companies.</x:v>
      </x:c>
    </x:row>
    <x:row r="16" ht="56" customHeight="1">
      <x:c r="A16" s="100" t="str">
        <x:v>Owner phone</x:v>
      </x:c>
      <x:c r="B16" s="106" t="str">
        <x:v>Only publicly listed professional or business numbers are included. No private people-search, brokered, or non-public personal numbers were used. When no owner/direct line was public, the business line is labeled.</x:v>
      </x:c>
    </x:row>
    <x:row r="17" ht="56" customHeight="1">
      <x:c r="A17" s="100" t="str">
        <x:v>Due diligence</x:v>
      </x:c>
      <x:c r="B17" s="106" t="str">
        <x:v>Before acquisition outreach or underwriting, verify current ownership, trailing-twelve-month revenue, service mix, licensing, headquarters address, employee count, customer concentration and the named contact's current role.</x:v>
      </x:c>
    </x:row>
    <x:row r="18" ht="56" customHeight="1">
      <x:c r="A18" s="100" t="str">
        <x:v>Data date</x:v>
      </x:c>
      <x:c r="B18" s="106" t="str">
        <x:v>Compiled August 4, 2026.</x:v>
      </x:c>
    </x:row>
  </x:sheetData>
  <x:mergeCells>
    <x:mergeCell ref="A1:F1"/>
    <x:mergeCell ref="A10:F10"/>
  </x:mergeCells>
  <x:pageMargins left="0.7" right="0.7" top="0.75" bottom="0.75" header="0.3" footer="0.3"/>
  <x:drawing xmlns:r="http://schemas.openxmlformats.org/officeDocument/2006/relationships" r:id="R5305becb12254424"/>
</x:worksheet>
</file>